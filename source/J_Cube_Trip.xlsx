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oney In &amp; Out" sheetId="1" r:id="rId4"/>
    <sheet state="visible" name="totals" sheetId="2" r:id="rId5"/>
    <sheet state="visible" name="Day 1 | 16th Nov25" sheetId="3" r:id="rId6"/>
    <sheet state="visible" name="Day 2 | 17th Nov25" sheetId="4" r:id="rId7"/>
    <sheet state="visible" name="Day 3 | 18th Nov25" sheetId="5" r:id="rId8"/>
    <sheet state="visible" name="Day 4 | 19th Nov25" sheetId="6" r:id="rId9"/>
    <sheet state="visible" name="Day 6 | 19th Nov25" sheetId="7" r:id="rId10"/>
    <sheet state="visible" name="Day 7 | 19th Nov25" sheetId="8" r:id="rId11"/>
    <sheet state="visible" name="Day 8 | 19th Nov25" sheetId="9" r:id="rId12"/>
    <sheet state="visible" name="Day 9 | 24th Nov25" sheetId="10" r:id="rId13"/>
    <sheet state="visible" name="Day 10 | 25th Nov25" sheetId="11" r:id="rId14"/>
    <sheet state="visible" name="Day 11 | 26th Nov25" sheetId="12" r:id="rId15"/>
    <sheet state="visible" name="Day 12 | 27th Nov25" sheetId="13" r:id="rId16"/>
    <sheet state="visible" name="Day 13 | 28th Nov25" sheetId="14" r:id="rId17"/>
    <sheet state="visible" name="Day 14 | 29th Nov25" sheetId="15" r:id="rId18"/>
    <sheet state="visible" name="Day 15 | 30th Nov25" sheetId="16" r:id="rId19"/>
    <sheet state="visible" name="Day 5 | 20th Nov25" sheetId="17" r:id="rId20"/>
    <sheet state="visible" name="Day 0 | 15th Nov25" sheetId="18" r:id="rId21"/>
  </sheets>
  <definedNames/>
  <calcPr/>
  <extLst>
    <ext uri="GoogleSheetsCustomDataVersion2">
      <go:sheetsCustomData xmlns:go="http://customooxmlschemas.google.com/" r:id="rId22" roundtripDataChecksum="u2uaTtZIrA5+R0Hok93Oyve2k/P+g6JzCu2j8gi9Pd8="/>
    </ext>
  </extLst>
</workbook>
</file>

<file path=xl/sharedStrings.xml><?xml version="1.0" encoding="utf-8"?>
<sst xmlns="http://schemas.openxmlformats.org/spreadsheetml/2006/main" count="876" uniqueCount="277">
  <si>
    <t>2ppl total</t>
  </si>
  <si>
    <t>Date</t>
  </si>
  <si>
    <t>Cash</t>
  </si>
  <si>
    <t>Category</t>
  </si>
  <si>
    <t>Item</t>
  </si>
  <si>
    <t>Card</t>
  </si>
  <si>
    <t>Money In</t>
  </si>
  <si>
    <t>Mode of payment</t>
  </si>
  <si>
    <t>Money Out</t>
  </si>
  <si>
    <t>Mode of Payment</t>
  </si>
  <si>
    <t>Food</t>
  </si>
  <si>
    <t>Expense</t>
  </si>
  <si>
    <t>Plane</t>
  </si>
  <si>
    <t>Paid By</t>
  </si>
  <si>
    <t>Misc</t>
  </si>
  <si>
    <t xml:space="preserve">in japan travel </t>
  </si>
  <si>
    <t>jr passes</t>
  </si>
  <si>
    <t>pre purchased train &amp; bus tix</t>
  </si>
  <si>
    <t xml:space="preserve">Travel </t>
  </si>
  <si>
    <t xml:space="preserve">Experiences </t>
  </si>
  <si>
    <t>Shopping Joyee</t>
  </si>
  <si>
    <t>Joyee</t>
  </si>
  <si>
    <t>Shopping Jhini</t>
  </si>
  <si>
    <t>hotel</t>
  </si>
  <si>
    <t>Job</t>
  </si>
  <si>
    <t>Salary</t>
  </si>
  <si>
    <t>ICICI Bank Transfer</t>
  </si>
  <si>
    <t>Investment</t>
  </si>
  <si>
    <t>Stocks, Mutual funds etc.</t>
  </si>
  <si>
    <t>BOB Bank</t>
  </si>
  <si>
    <t>Trading, dividend</t>
  </si>
  <si>
    <t>Grocery</t>
  </si>
  <si>
    <t>Fruits &amp; veg, household items, beauty, meat</t>
  </si>
  <si>
    <t>Joyee suica</t>
  </si>
  <si>
    <t>Utilities</t>
  </si>
  <si>
    <t>Startup</t>
  </si>
  <si>
    <t>Health</t>
  </si>
  <si>
    <t>Doctor, medicines</t>
  </si>
  <si>
    <t>Gift</t>
  </si>
  <si>
    <t>Entertainment</t>
  </si>
  <si>
    <t>Movie, workshop, trips</t>
  </si>
  <si>
    <t>Ananya</t>
  </si>
  <si>
    <t>Travel</t>
  </si>
  <si>
    <t>Cab, auto, bus</t>
  </si>
  <si>
    <t>Suica card deposit</t>
  </si>
  <si>
    <t>Rent, Maid, Phone bill, Water, Wifi, Gas</t>
  </si>
  <si>
    <t>Recieve, give</t>
  </si>
  <si>
    <t>Outside food</t>
  </si>
  <si>
    <t xml:space="preserve">Order, drinks, </t>
  </si>
  <si>
    <t>Ananya suica</t>
  </si>
  <si>
    <t>Hobby</t>
  </si>
  <si>
    <t>Fee</t>
  </si>
  <si>
    <t>suica card top up</t>
  </si>
  <si>
    <t>110000-5500each card</t>
  </si>
  <si>
    <t>joyee</t>
  </si>
  <si>
    <t xml:space="preserve">Joyee suica card top up </t>
  </si>
  <si>
    <t>sake tasting at ide</t>
  </si>
  <si>
    <t>Total</t>
  </si>
  <si>
    <t xml:space="preserve">umbrella </t>
  </si>
  <si>
    <t>Experiences</t>
  </si>
  <si>
    <t>Food + coffee + water</t>
  </si>
  <si>
    <t>misc</t>
  </si>
  <si>
    <t xml:space="preserve">Coffee Shinjuku station </t>
  </si>
  <si>
    <t>cash</t>
  </si>
  <si>
    <t>Shopping</t>
  </si>
  <si>
    <t>lunch @ fare</t>
  </si>
  <si>
    <t xml:space="preserve">joyee </t>
  </si>
  <si>
    <t>peach ice cream</t>
  </si>
  <si>
    <t>hoto fudo</t>
  </si>
  <si>
    <t>lawson</t>
  </si>
  <si>
    <t>wo shopping/gifts</t>
  </si>
  <si>
    <t xml:space="preserve">joyee suica top up </t>
  </si>
  <si>
    <t xml:space="preserve">mom suica top up </t>
  </si>
  <si>
    <t>kodaiji entrance fee</t>
  </si>
  <si>
    <t>Step count</t>
  </si>
  <si>
    <t>joyee suica</t>
  </si>
  <si>
    <t>Base fare Fuji limited exp</t>
  </si>
  <si>
    <t xml:space="preserve">coffee </t>
  </si>
  <si>
    <t>suica</t>
  </si>
  <si>
    <t xml:space="preserve">2500 each - check </t>
  </si>
  <si>
    <t>bus travel red line</t>
  </si>
  <si>
    <t xml:space="preserve">570 each </t>
  </si>
  <si>
    <t>mom cash</t>
  </si>
  <si>
    <t>totori puffs and cookies</t>
  </si>
  <si>
    <t>lunch</t>
  </si>
  <si>
    <t>water at matsumoto</t>
  </si>
  <si>
    <t xml:space="preserve">water vending machine </t>
  </si>
  <si>
    <t xml:space="preserve">Shopping </t>
  </si>
  <si>
    <t>Fuji coin souviner</t>
  </si>
  <si>
    <t>200 each</t>
  </si>
  <si>
    <t>sake</t>
  </si>
  <si>
    <t>mom neo</t>
  </si>
  <si>
    <t>JOYEE only</t>
  </si>
  <si>
    <t xml:space="preserve">coffee vending machine </t>
  </si>
  <si>
    <t xml:space="preserve">joyee cash </t>
  </si>
  <si>
    <t>shinkansen coffee</t>
  </si>
  <si>
    <t>plusta combini</t>
  </si>
  <si>
    <t>joyee ic</t>
  </si>
  <si>
    <t>mom ic</t>
  </si>
  <si>
    <t>omoniyaki store</t>
  </si>
  <si>
    <t>joyee cash</t>
  </si>
  <si>
    <t>Gifts</t>
  </si>
  <si>
    <t>limo bus</t>
  </si>
  <si>
    <t>suica equal</t>
  </si>
  <si>
    <t>joyee, ananya equal</t>
  </si>
  <si>
    <t>train to totoro cafe both ways</t>
  </si>
  <si>
    <t xml:space="preserve">harajuku to Shinjuku </t>
  </si>
  <si>
    <t>chureto back &amp; forth</t>
  </si>
  <si>
    <t>indv. suica</t>
  </si>
  <si>
    <t>uniqlo</t>
  </si>
  <si>
    <t>mom neo card</t>
  </si>
  <si>
    <t>ananya</t>
  </si>
  <si>
    <t>to fushiminari add on</t>
  </si>
  <si>
    <t>ind suica</t>
  </si>
  <si>
    <t xml:space="preserve">bus to kyoto station </t>
  </si>
  <si>
    <t xml:space="preserve">ind suica </t>
  </si>
  <si>
    <t>temple entrance fee</t>
  </si>
  <si>
    <t xml:space="preserve">cash </t>
  </si>
  <si>
    <t xml:space="preserve">taxes tba for atm withdrawal </t>
  </si>
  <si>
    <t>joyee suica fill 5000</t>
  </si>
  <si>
    <t>coffee vending machine</t>
  </si>
  <si>
    <t>uji cafe</t>
  </si>
  <si>
    <t>breads from uji</t>
  </si>
  <si>
    <t>hotel Osaka tax</t>
  </si>
  <si>
    <t xml:space="preserve">food at station </t>
  </si>
  <si>
    <t>lawson breakfast</t>
  </si>
  <si>
    <t>mom suica</t>
  </si>
  <si>
    <t xml:space="preserve">coffee/beer </t>
  </si>
  <si>
    <t>lunch at aso</t>
  </si>
  <si>
    <t>neo card</t>
  </si>
  <si>
    <t xml:space="preserve">ice cream at aso </t>
  </si>
  <si>
    <t>cash mom</t>
  </si>
  <si>
    <t>ice cream joyee treat</t>
  </si>
  <si>
    <t>dinner from 7/11</t>
  </si>
  <si>
    <t>check</t>
  </si>
  <si>
    <t>ticket for bus</t>
  </si>
  <si>
    <t>all tickets for hells of beppu</t>
  </si>
  <si>
    <t>joyee ceramic</t>
  </si>
  <si>
    <t>joyee shopping mostly at aso</t>
  </si>
  <si>
    <t>forex card</t>
  </si>
  <si>
    <t>water</t>
  </si>
  <si>
    <t xml:space="preserve">uji biscuits </t>
  </si>
  <si>
    <t xml:space="preserve">brunch breads from beppu station little mermaid </t>
  </si>
  <si>
    <t xml:space="preserve">unl rikoriluko cheesecake </t>
  </si>
  <si>
    <t>dinner at dotonbori</t>
  </si>
  <si>
    <t>Remaining</t>
  </si>
  <si>
    <t>bus to &amp; fro both beppu</t>
  </si>
  <si>
    <t>indv suica</t>
  </si>
  <si>
    <t>shinshaibashi to &amp; fro</t>
  </si>
  <si>
    <t>joyee onsen charm</t>
  </si>
  <si>
    <t>bandages+ body lotion</t>
  </si>
  <si>
    <t>laundry+dryer</t>
  </si>
  <si>
    <t>mom ithdrew 10000 on neo</t>
  </si>
  <si>
    <t xml:space="preserve">entry ticket at katsouji </t>
  </si>
  <si>
    <t>joyee forex</t>
  </si>
  <si>
    <t xml:space="preserve">lunch at Osaka station </t>
  </si>
  <si>
    <t>mochi at nara</t>
  </si>
  <si>
    <t xml:space="preserve">coffee &amp; water at 7/11 </t>
  </si>
  <si>
    <t>family mart dinner etc.</t>
  </si>
  <si>
    <t>osaka I minoh kayano to&amp; fro</t>
  </si>
  <si>
    <t>bu to &amp; fro mitsouji</t>
  </si>
  <si>
    <t xml:space="preserve">nara base fare </t>
  </si>
  <si>
    <t>joyee withdrew 5000 yen</t>
  </si>
  <si>
    <t>kenroken arden entry</t>
  </si>
  <si>
    <t>souvenir from katsouji</t>
  </si>
  <si>
    <t xml:space="preserve">split equally </t>
  </si>
  <si>
    <t xml:space="preserve">rings &amp; clips from luna </t>
  </si>
  <si>
    <t>omikochi market lunch</t>
  </si>
  <si>
    <t>mom/joyee cash</t>
  </si>
  <si>
    <t>water/coffee at aeon</t>
  </si>
  <si>
    <t>morning 7/11 coffee/smoothie</t>
  </si>
  <si>
    <t xml:space="preserve">dinner </t>
  </si>
  <si>
    <t>mom will pay</t>
  </si>
  <si>
    <t>day bus pass</t>
  </si>
  <si>
    <t xml:space="preserve">round train trip </t>
  </si>
  <si>
    <t>joyee withdrew 10000 yen</t>
  </si>
  <si>
    <t xml:space="preserve">mom withdrew 20000 yen </t>
  </si>
  <si>
    <t xml:space="preserve">kanda house entrance </t>
  </si>
  <si>
    <t>coffee 7/11</t>
  </si>
  <si>
    <t>cash.</t>
  </si>
  <si>
    <t>ice cream/bun</t>
  </si>
  <si>
    <t xml:space="preserve">banta </t>
  </si>
  <si>
    <t>lunch at combini</t>
  </si>
  <si>
    <t xml:space="preserve">neo </t>
  </si>
  <si>
    <t>pudding</t>
  </si>
  <si>
    <t>neo</t>
  </si>
  <si>
    <t>coffee/matcha brunch</t>
  </si>
  <si>
    <t>coffee at mall</t>
  </si>
  <si>
    <t>7/11 dinner</t>
  </si>
  <si>
    <t>matsumoto trip tix</t>
  </si>
  <si>
    <t>mochi</t>
  </si>
  <si>
    <t xml:space="preserve">museum entrance </t>
  </si>
  <si>
    <t>Pokemon centre</t>
  </si>
  <si>
    <t>forex</t>
  </si>
  <si>
    <t>joyee only</t>
  </si>
  <si>
    <t>joyee 2980</t>
  </si>
  <si>
    <t>abc converse</t>
  </si>
  <si>
    <t>beauty7/11</t>
  </si>
  <si>
    <t xml:space="preserve">breakfast at kanazawa station </t>
  </si>
  <si>
    <t xml:space="preserve">ice cream at matsumoto </t>
  </si>
  <si>
    <t>combini munchies</t>
  </si>
  <si>
    <t xml:space="preserve">lunch soba </t>
  </si>
  <si>
    <t xml:space="preserve">mochi for home </t>
  </si>
  <si>
    <t>buddha temple entry</t>
  </si>
  <si>
    <t>lunch at thai place station</t>
  </si>
  <si>
    <t xml:space="preserve">coffee zebra </t>
  </si>
  <si>
    <t>shaved ice</t>
  </si>
  <si>
    <t xml:space="preserve">dinner at McDonald's </t>
  </si>
  <si>
    <t>dinner</t>
  </si>
  <si>
    <t xml:space="preserve">forex </t>
  </si>
  <si>
    <t xml:space="preserve">buddha cookie </t>
  </si>
  <si>
    <t xml:space="preserve">lawson water + drinks + ice cream </t>
  </si>
  <si>
    <t>sucia</t>
  </si>
  <si>
    <t>ice cream @kanazawa</t>
  </si>
  <si>
    <t>coffee</t>
  </si>
  <si>
    <t xml:space="preserve">dango+rice crisps </t>
  </si>
  <si>
    <t xml:space="preserve">Sandwich </t>
  </si>
  <si>
    <t>kanazawa</t>
  </si>
  <si>
    <t>kanazawa train</t>
  </si>
  <si>
    <t xml:space="preserve">yurikamome </t>
  </si>
  <si>
    <t>suica ind</t>
  </si>
  <si>
    <t>metros</t>
  </si>
  <si>
    <t xml:space="preserve">ceramic holder </t>
  </si>
  <si>
    <t>donquijito</t>
  </si>
  <si>
    <t xml:space="preserve">gachan </t>
  </si>
  <si>
    <t>cup ramen</t>
  </si>
  <si>
    <t>mom side</t>
  </si>
  <si>
    <t xml:space="preserve">breakfast </t>
  </si>
  <si>
    <t>lunch local</t>
  </si>
  <si>
    <t>dinner breads</t>
  </si>
  <si>
    <t>honolulu coffee</t>
  </si>
  <si>
    <t>hokaido coffee</t>
  </si>
  <si>
    <t>sweet potato snack</t>
  </si>
  <si>
    <t xml:space="preserve">suica recharge </t>
  </si>
  <si>
    <t>asakusa metro</t>
  </si>
  <si>
    <t>ginza metro from sky tower</t>
  </si>
  <si>
    <t xml:space="preserve">yoroshi cosmetics </t>
  </si>
  <si>
    <t>joyee 1100</t>
  </si>
  <si>
    <t>hands</t>
  </si>
  <si>
    <t>itoya</t>
  </si>
  <si>
    <t>ghibli</t>
  </si>
  <si>
    <t>matsumoto kiyoshi</t>
  </si>
  <si>
    <t>lawson home gifts + food</t>
  </si>
  <si>
    <t>suica + cash</t>
  </si>
  <si>
    <t xml:space="preserve">100 yen shop </t>
  </si>
  <si>
    <t>hotwheels</t>
  </si>
  <si>
    <t>airport coffee</t>
  </si>
  <si>
    <t>sandwich</t>
  </si>
  <si>
    <t>uber delhi to home</t>
  </si>
  <si>
    <t>cash - mom</t>
  </si>
  <si>
    <t>duty free sweets</t>
  </si>
  <si>
    <t>coin locker</t>
  </si>
  <si>
    <t xml:space="preserve">cable </t>
  </si>
  <si>
    <t>suica jpyee</t>
  </si>
  <si>
    <t xml:space="preserve">taxes to be added for atm cash withdrawal </t>
  </si>
  <si>
    <t xml:space="preserve">breakfast at Hiroshima station </t>
  </si>
  <si>
    <t>oyster bbq</t>
  </si>
  <si>
    <t>oyster bun + donut</t>
  </si>
  <si>
    <t xml:space="preserve">momiji manju cake </t>
  </si>
  <si>
    <t>lawson (water + coffee)</t>
  </si>
  <si>
    <t>suica mom</t>
  </si>
  <si>
    <t>lawson coffee</t>
  </si>
  <si>
    <t>suica joyee</t>
  </si>
  <si>
    <t>donut dinner food</t>
  </si>
  <si>
    <t>visitor tax kr ferry</t>
  </si>
  <si>
    <t>train/tram miyajama i hiroshima</t>
  </si>
  <si>
    <t xml:space="preserve">Cab to airport </t>
  </si>
  <si>
    <t>Gpay</t>
  </si>
  <si>
    <t xml:space="preserve">printouts </t>
  </si>
  <si>
    <t>pokemon coins</t>
  </si>
  <si>
    <t xml:space="preserve">Entertainment </t>
  </si>
  <si>
    <t xml:space="preserve">Airport sar &amp; spice - coffee + sandwich </t>
  </si>
  <si>
    <t>gpay</t>
  </si>
  <si>
    <t>Health Gen.</t>
  </si>
  <si>
    <t>business</t>
  </si>
  <si>
    <t>3137 yen</t>
  </si>
  <si>
    <t>wo investment &amp; 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</si>
</sst>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Font="1"/>
    <xf borderId="0" fillId="0" fontId="3" numFmtId="0" xfId="0" applyAlignment="1" applyFont="1">
      <alignment horizontal="right" vertical="bottom"/>
    </xf>
    <xf borderId="0" fillId="0" fontId="2" numFmtId="0" xfId="0" applyFont="1"/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right" vertical="bottom"/>
    </xf>
    <xf borderId="0" fillId="3" fontId="3" numFmtId="0" xfId="0" applyAlignment="1" applyFill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4" width="13.86"/>
    <col customWidth="1" min="5" max="5" width="16.86"/>
    <col customWidth="1" min="6" max="6" width="11.57"/>
    <col customWidth="1" min="7" max="9" width="13.86"/>
    <col customWidth="1" min="10" max="10" width="16.86"/>
    <col customWidth="1" min="11" max="26" width="13.86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1</v>
      </c>
      <c r="G1" s="2" t="s">
        <v>3</v>
      </c>
      <c r="H1" s="2" t="s">
        <v>4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>
        <v>1.0</v>
      </c>
      <c r="B2" s="6" t="s">
        <v>24</v>
      </c>
      <c r="C2" s="6" t="s">
        <v>25</v>
      </c>
      <c r="D2" s="10">
        <v>100000.0</v>
      </c>
      <c r="E2" s="10" t="s">
        <v>26</v>
      </c>
      <c r="F2" s="6">
        <v>1.0</v>
      </c>
      <c r="G2" s="6" t="s">
        <v>27</v>
      </c>
      <c r="H2" s="6" t="s">
        <v>28</v>
      </c>
      <c r="I2" s="10"/>
      <c r="J2" s="10" t="s">
        <v>29</v>
      </c>
    </row>
    <row r="3">
      <c r="B3" s="6" t="s">
        <v>27</v>
      </c>
      <c r="C3" s="6" t="s">
        <v>30</v>
      </c>
      <c r="E3" s="10"/>
      <c r="G3" s="6" t="s">
        <v>31</v>
      </c>
      <c r="H3" s="6" t="s">
        <v>32</v>
      </c>
    </row>
    <row r="4">
      <c r="B4" s="6" t="s">
        <v>35</v>
      </c>
      <c r="C4" s="6"/>
      <c r="E4" s="10"/>
      <c r="G4" s="6" t="s">
        <v>36</v>
      </c>
      <c r="H4" s="6" t="s">
        <v>37</v>
      </c>
    </row>
    <row r="5">
      <c r="A5" s="6"/>
      <c r="B5" s="6" t="s">
        <v>38</v>
      </c>
      <c r="C5" s="6"/>
      <c r="D5" s="10"/>
      <c r="E5" s="10"/>
      <c r="F5" s="6"/>
      <c r="G5" s="6" t="s">
        <v>39</v>
      </c>
      <c r="H5" s="6" t="s">
        <v>40</v>
      </c>
      <c r="I5" s="10"/>
      <c r="J5" s="10"/>
    </row>
    <row r="6">
      <c r="B6" s="6"/>
      <c r="C6" s="6"/>
      <c r="E6" s="10"/>
      <c r="G6" s="6" t="s">
        <v>42</v>
      </c>
      <c r="H6" s="6" t="s">
        <v>43</v>
      </c>
    </row>
    <row r="7">
      <c r="B7" s="6"/>
      <c r="C7" s="6"/>
      <c r="E7" s="10"/>
      <c r="G7" s="6" t="s">
        <v>34</v>
      </c>
      <c r="H7" s="6" t="s">
        <v>45</v>
      </c>
    </row>
    <row r="8">
      <c r="B8" s="6"/>
      <c r="C8" s="6"/>
      <c r="E8" s="10"/>
      <c r="G8" s="6" t="s">
        <v>38</v>
      </c>
      <c r="H8" s="6" t="s">
        <v>46</v>
      </c>
    </row>
    <row r="9">
      <c r="B9" s="6"/>
      <c r="C9" s="6"/>
      <c r="E9" s="10"/>
      <c r="G9" s="6" t="s">
        <v>47</v>
      </c>
      <c r="H9" s="6" t="s">
        <v>48</v>
      </c>
    </row>
    <row r="10">
      <c r="B10" s="6"/>
      <c r="C10" s="6"/>
      <c r="E10" s="10"/>
      <c r="G10" s="6" t="s">
        <v>50</v>
      </c>
      <c r="H10" s="6" t="s">
        <v>51</v>
      </c>
    </row>
    <row r="11">
      <c r="B11" s="6"/>
      <c r="C11" s="6"/>
      <c r="E11" s="10"/>
      <c r="G11" s="6" t="s">
        <v>35</v>
      </c>
      <c r="H11" s="6"/>
    </row>
    <row r="12">
      <c r="B12" s="6"/>
      <c r="E12" s="10"/>
      <c r="G12" s="6"/>
    </row>
    <row r="13">
      <c r="B13" s="6"/>
      <c r="C13" s="6"/>
      <c r="E13" s="10"/>
      <c r="G13" s="6"/>
      <c r="H13" s="6"/>
    </row>
    <row r="14">
      <c r="B14" s="6"/>
      <c r="C14" s="6"/>
      <c r="E14" s="10"/>
      <c r="G14" s="6"/>
      <c r="H14" s="6"/>
    </row>
    <row r="15">
      <c r="B15" s="6"/>
      <c r="C15" s="6"/>
      <c r="E15" s="10"/>
      <c r="G15" s="6"/>
      <c r="H15" s="6"/>
    </row>
    <row r="16">
      <c r="B16" s="6"/>
      <c r="C16" s="6"/>
      <c r="E16" s="10"/>
      <c r="G16" s="6"/>
      <c r="H16" s="6"/>
    </row>
    <row r="17">
      <c r="B17" s="6"/>
      <c r="C17" s="6"/>
      <c r="E17" s="10"/>
      <c r="G17" s="6"/>
      <c r="H17" s="6"/>
    </row>
    <row r="18">
      <c r="B18" s="6"/>
      <c r="C18" s="6"/>
      <c r="E18" s="10"/>
      <c r="G18" s="6"/>
      <c r="H18" s="6"/>
    </row>
    <row r="19" ht="15.75" customHeight="1">
      <c r="B19" s="6"/>
      <c r="C19" s="6"/>
      <c r="E19" s="10"/>
      <c r="G19" s="6"/>
      <c r="H19" s="6"/>
    </row>
    <row r="20" ht="15.75" customHeight="1">
      <c r="B20" s="6"/>
      <c r="C20" s="6"/>
      <c r="E20" s="10"/>
      <c r="G20" s="6"/>
      <c r="H20" s="6"/>
    </row>
    <row r="21" ht="15.75" customHeight="1">
      <c r="B21" s="6"/>
      <c r="C21" s="6"/>
      <c r="E21" s="10"/>
      <c r="G21" s="6"/>
      <c r="H21" s="6"/>
    </row>
    <row r="22" ht="15.75" customHeight="1">
      <c r="B22" s="6"/>
      <c r="C22" s="6"/>
      <c r="E22" s="10"/>
      <c r="G22" s="6"/>
      <c r="H22" s="6"/>
    </row>
    <row r="23" ht="15.75" customHeight="1">
      <c r="B23" s="6"/>
      <c r="C23" s="6"/>
      <c r="E23" s="10"/>
      <c r="G23" s="6"/>
      <c r="H23" s="6"/>
    </row>
    <row r="24" ht="15.75" customHeight="1">
      <c r="B24" s="6"/>
      <c r="C24" s="6"/>
      <c r="E24" s="10"/>
      <c r="G24" s="6"/>
      <c r="H24" s="6"/>
    </row>
    <row r="25" ht="15.75" customHeight="1">
      <c r="B25" s="6"/>
      <c r="C25" s="6"/>
      <c r="E25" s="10"/>
      <c r="G25" s="6"/>
      <c r="H25" s="6"/>
    </row>
    <row r="26" ht="15.75" customHeight="1">
      <c r="B26" s="6"/>
      <c r="C26" s="6"/>
      <c r="E26" s="10"/>
      <c r="G26" s="6"/>
      <c r="H26" s="6"/>
    </row>
    <row r="27" ht="15.75" customHeight="1">
      <c r="B27" s="6"/>
      <c r="C27" s="6"/>
      <c r="E27" s="10"/>
      <c r="G27" s="6"/>
      <c r="H27" s="6"/>
    </row>
    <row r="28" ht="15.75" customHeight="1">
      <c r="B28" s="6"/>
      <c r="C28" s="6"/>
      <c r="E28" s="10"/>
      <c r="G28" s="6"/>
      <c r="H28" s="6"/>
    </row>
    <row r="29" ht="15.75" customHeight="1">
      <c r="B29" s="6"/>
      <c r="C29" s="6"/>
      <c r="E29" s="10"/>
      <c r="G29" s="6"/>
      <c r="H29" s="6"/>
    </row>
    <row r="30" ht="15.75" customHeight="1">
      <c r="B30" s="6"/>
      <c r="C30" s="6"/>
      <c r="E30" s="10"/>
      <c r="G30" s="6"/>
      <c r="H30" s="6"/>
    </row>
    <row r="31" ht="15.75" customHeight="1">
      <c r="B31" s="6"/>
      <c r="C31" s="6"/>
      <c r="E31" s="10"/>
      <c r="G31" s="6"/>
      <c r="H31" s="6"/>
    </row>
    <row r="32" ht="15.75" customHeight="1">
      <c r="B32" s="6"/>
      <c r="C32" s="6"/>
      <c r="E32" s="10"/>
      <c r="G32" s="6"/>
      <c r="H32" s="6"/>
    </row>
    <row r="33" ht="15.75" customHeight="1">
      <c r="B33" s="6"/>
      <c r="C33" s="6"/>
      <c r="E33" s="10"/>
      <c r="G33" s="6"/>
      <c r="H33" s="6"/>
    </row>
    <row r="34" ht="15.75" customHeight="1">
      <c r="B34" s="6"/>
      <c r="C34" s="6"/>
      <c r="E34" s="10"/>
      <c r="G34" s="6"/>
      <c r="H34" s="6"/>
    </row>
    <row r="35" ht="15.75" customHeight="1">
      <c r="B35" s="6"/>
      <c r="C35" s="6"/>
      <c r="E35" s="10"/>
      <c r="G35" s="6"/>
      <c r="H35" s="6"/>
    </row>
    <row r="36" ht="15.75" customHeight="1">
      <c r="B36" s="6"/>
      <c r="C36" s="6"/>
      <c r="E36" s="10"/>
      <c r="G36" s="6"/>
      <c r="H36" s="6"/>
    </row>
    <row r="37" ht="15.75" customHeight="1">
      <c r="B37" s="6"/>
      <c r="C37" s="6"/>
      <c r="E37" s="10"/>
      <c r="G37" s="6"/>
      <c r="H37" s="6"/>
    </row>
    <row r="38" ht="15.75" customHeight="1">
      <c r="B38" s="6"/>
      <c r="C38" s="6"/>
      <c r="E38" s="10"/>
      <c r="G38" s="6"/>
      <c r="H38" s="6"/>
    </row>
    <row r="39" ht="15.75" customHeight="1">
      <c r="B39" s="6"/>
      <c r="C39" s="6"/>
      <c r="E39" s="10"/>
      <c r="G39" s="6"/>
      <c r="H39" s="6"/>
    </row>
    <row r="40" ht="15.75" customHeight="1">
      <c r="B40" s="6"/>
      <c r="C40" s="6"/>
      <c r="E40" s="10"/>
      <c r="G40" s="6"/>
      <c r="H40" s="6"/>
    </row>
    <row r="41" ht="15.75" customHeight="1">
      <c r="B41" s="6"/>
      <c r="C41" s="6"/>
      <c r="E41" s="10"/>
      <c r="G41" s="6"/>
      <c r="H41" s="6"/>
    </row>
    <row r="42" ht="15.75" customHeight="1">
      <c r="B42" s="6"/>
      <c r="C42" s="6"/>
      <c r="E42" s="10"/>
      <c r="G42" s="6"/>
      <c r="H42" s="6"/>
    </row>
    <row r="43" ht="15.75" customHeight="1">
      <c r="B43" s="6"/>
      <c r="C43" s="6"/>
      <c r="E43" s="10"/>
      <c r="G43" s="6"/>
      <c r="H43" s="6"/>
    </row>
    <row r="44" ht="15.75" customHeight="1">
      <c r="B44" s="6"/>
      <c r="C44" s="6"/>
      <c r="E44" s="10"/>
      <c r="G44" s="6"/>
      <c r="H44" s="6"/>
    </row>
    <row r="45" ht="15.75" customHeight="1">
      <c r="B45" s="6"/>
      <c r="C45" s="6"/>
      <c r="E45" s="10"/>
      <c r="G45" s="6"/>
      <c r="H45" s="6"/>
    </row>
    <row r="46" ht="15.75" customHeight="1">
      <c r="B46" s="6"/>
      <c r="C46" s="6"/>
      <c r="E46" s="10"/>
      <c r="G46" s="6"/>
      <c r="H46" s="6"/>
    </row>
    <row r="47" ht="15.75" customHeight="1">
      <c r="B47" s="6"/>
      <c r="C47" s="6"/>
      <c r="E47" s="10"/>
      <c r="G47" s="6"/>
      <c r="H47" s="6"/>
    </row>
    <row r="48" ht="15.75" customHeight="1">
      <c r="B48" s="6"/>
      <c r="C48" s="6"/>
      <c r="E48" s="10"/>
      <c r="G48" s="6"/>
      <c r="H48" s="6"/>
    </row>
    <row r="49" ht="15.75" customHeight="1">
      <c r="B49" s="6"/>
      <c r="C49" s="6"/>
      <c r="E49" s="10"/>
      <c r="G49" s="6"/>
      <c r="H49" s="6"/>
    </row>
    <row r="50" ht="15.75" customHeight="1">
      <c r="B50" s="6"/>
      <c r="C50" s="6"/>
      <c r="E50" s="10"/>
      <c r="G50" s="6"/>
      <c r="H50" s="6"/>
    </row>
    <row r="51" ht="15.75" customHeight="1">
      <c r="B51" s="6"/>
      <c r="C51" s="6"/>
      <c r="E51" s="10"/>
      <c r="G51" s="6"/>
      <c r="H51" s="6"/>
    </row>
    <row r="52" ht="15.75" customHeight="1">
      <c r="B52" s="6"/>
      <c r="C52" s="6"/>
      <c r="E52" s="10"/>
      <c r="G52" s="6"/>
      <c r="H52" s="6"/>
    </row>
    <row r="53" ht="15.75" customHeight="1">
      <c r="B53" s="6"/>
      <c r="C53" s="6"/>
      <c r="E53" s="10"/>
      <c r="G53" s="6"/>
      <c r="H53" s="6"/>
    </row>
    <row r="54" ht="15.75" customHeight="1">
      <c r="B54" s="6"/>
      <c r="C54" s="6"/>
      <c r="E54" s="10"/>
      <c r="G54" s="6"/>
      <c r="H54" s="6"/>
    </row>
    <row r="55" ht="15.75" customHeight="1">
      <c r="B55" s="6"/>
      <c r="C55" s="6"/>
      <c r="E55" s="10"/>
      <c r="G55" s="6"/>
      <c r="H55" s="6"/>
    </row>
    <row r="56" ht="15.75" customHeight="1">
      <c r="B56" s="6"/>
      <c r="C56" s="6"/>
      <c r="E56" s="10"/>
      <c r="G56" s="6"/>
      <c r="H56" s="6"/>
    </row>
    <row r="57" ht="15.75" customHeight="1">
      <c r="B57" s="6"/>
      <c r="C57" s="6"/>
      <c r="E57" s="10"/>
      <c r="G57" s="6"/>
      <c r="H57" s="6"/>
    </row>
    <row r="58" ht="15.75" customHeight="1">
      <c r="B58" s="6"/>
      <c r="C58" s="6"/>
      <c r="E58" s="10"/>
      <c r="G58" s="6"/>
      <c r="H58" s="6"/>
    </row>
    <row r="59" ht="15.75" customHeight="1">
      <c r="B59" s="6"/>
      <c r="C59" s="6"/>
      <c r="E59" s="10"/>
      <c r="G59" s="6"/>
      <c r="H59" s="6"/>
    </row>
    <row r="60" ht="15.75" customHeight="1">
      <c r="B60" s="6"/>
      <c r="C60" s="6"/>
      <c r="E60" s="10"/>
      <c r="G60" s="6"/>
      <c r="H60" s="6"/>
    </row>
    <row r="61" ht="15.75" customHeight="1">
      <c r="B61" s="6"/>
      <c r="C61" s="6"/>
      <c r="E61" s="10"/>
      <c r="G61" s="6"/>
      <c r="H61" s="6"/>
    </row>
    <row r="62" ht="15.75" customHeight="1">
      <c r="B62" s="6"/>
      <c r="C62" s="6"/>
      <c r="E62" s="10"/>
      <c r="G62" s="6"/>
      <c r="H62" s="6"/>
    </row>
    <row r="63" ht="15.75" customHeight="1">
      <c r="B63" s="6"/>
      <c r="C63" s="6"/>
      <c r="E63" s="10"/>
      <c r="G63" s="6"/>
      <c r="H63" s="6"/>
    </row>
    <row r="64" ht="15.75" customHeight="1">
      <c r="B64" s="6"/>
      <c r="C64" s="6"/>
      <c r="E64" s="10"/>
      <c r="G64" s="6"/>
      <c r="H64" s="6"/>
    </row>
    <row r="65" ht="15.75" customHeight="1">
      <c r="B65" s="6"/>
      <c r="C65" s="6"/>
      <c r="E65" s="10"/>
      <c r="G65" s="6"/>
      <c r="H65" s="6"/>
    </row>
    <row r="66" ht="15.75" customHeight="1">
      <c r="B66" s="6"/>
      <c r="C66" s="6"/>
      <c r="E66" s="10"/>
      <c r="G66" s="6"/>
      <c r="H66" s="6"/>
    </row>
    <row r="67" ht="15.75" customHeight="1">
      <c r="B67" s="6"/>
      <c r="C67" s="6"/>
      <c r="E67" s="10"/>
      <c r="G67" s="6"/>
      <c r="H67" s="6"/>
    </row>
    <row r="68" ht="15.75" customHeight="1">
      <c r="B68" s="6"/>
      <c r="C68" s="6"/>
      <c r="E68" s="10"/>
      <c r="G68" s="6"/>
      <c r="H68" s="6"/>
    </row>
    <row r="69" ht="15.75" customHeight="1">
      <c r="B69" s="6"/>
      <c r="C69" s="6"/>
      <c r="E69" s="10"/>
      <c r="G69" s="6"/>
      <c r="H69" s="6"/>
    </row>
    <row r="70" ht="15.75" customHeight="1">
      <c r="B70" s="6"/>
      <c r="C70" s="6"/>
      <c r="E70" s="10"/>
      <c r="G70" s="6"/>
      <c r="H70" s="6"/>
    </row>
    <row r="71" ht="15.75" customHeight="1">
      <c r="B71" s="6"/>
      <c r="C71" s="6"/>
      <c r="E71" s="10"/>
      <c r="G71" s="6"/>
      <c r="H71" s="6"/>
    </row>
    <row r="72" ht="15.75" customHeight="1">
      <c r="B72" s="6"/>
      <c r="C72" s="6"/>
      <c r="E72" s="10"/>
      <c r="G72" s="6"/>
      <c r="H72" s="6"/>
    </row>
    <row r="73" ht="15.75" customHeight="1">
      <c r="B73" s="6"/>
      <c r="C73" s="6"/>
      <c r="E73" s="10"/>
      <c r="G73" s="6"/>
      <c r="H73" s="6"/>
    </row>
    <row r="74" ht="15.75" customHeight="1">
      <c r="B74" s="6"/>
      <c r="C74" s="6"/>
      <c r="E74" s="10"/>
      <c r="G74" s="6"/>
      <c r="H74" s="6"/>
    </row>
    <row r="75" ht="15.75" customHeight="1">
      <c r="B75" s="6"/>
      <c r="C75" s="6"/>
      <c r="E75" s="10"/>
      <c r="G75" s="6"/>
      <c r="H75" s="6"/>
    </row>
    <row r="76" ht="15.75" customHeight="1">
      <c r="B76" s="6"/>
      <c r="C76" s="6"/>
      <c r="E76" s="10"/>
      <c r="G76" s="6"/>
      <c r="H76" s="6"/>
    </row>
    <row r="77" ht="15.75" customHeight="1">
      <c r="B77" s="6"/>
      <c r="C77" s="6"/>
      <c r="E77" s="10"/>
      <c r="G77" s="6"/>
      <c r="H77" s="6"/>
    </row>
    <row r="78" ht="15.75" customHeight="1">
      <c r="B78" s="6"/>
      <c r="C78" s="6"/>
      <c r="E78" s="10"/>
      <c r="G78" s="6"/>
      <c r="H78" s="6"/>
    </row>
    <row r="79" ht="15.75" customHeight="1">
      <c r="B79" s="6"/>
      <c r="C79" s="6"/>
      <c r="E79" s="10"/>
      <c r="G79" s="6"/>
      <c r="H79" s="6"/>
    </row>
    <row r="80" ht="15.75" customHeight="1">
      <c r="B80" s="6"/>
      <c r="C80" s="6"/>
      <c r="E80" s="10"/>
      <c r="G80" s="6"/>
      <c r="H80" s="6"/>
    </row>
    <row r="81" ht="15.75" customHeight="1">
      <c r="B81" s="6"/>
      <c r="C81" s="6"/>
      <c r="E81" s="10"/>
      <c r="G81" s="6"/>
      <c r="H81" s="6"/>
    </row>
    <row r="82" ht="15.75" customHeight="1">
      <c r="B82" s="6"/>
      <c r="C82" s="6"/>
      <c r="E82" s="10"/>
      <c r="G82" s="6"/>
      <c r="H82" s="6"/>
    </row>
    <row r="83" ht="15.75" customHeight="1">
      <c r="B83" s="6"/>
      <c r="C83" s="6"/>
      <c r="E83" s="10"/>
      <c r="G83" s="6"/>
      <c r="H83" s="6"/>
    </row>
    <row r="84" ht="15.75" customHeight="1">
      <c r="B84" s="6"/>
      <c r="C84" s="6"/>
      <c r="E84" s="10"/>
      <c r="G84" s="6"/>
      <c r="H84" s="6"/>
    </row>
    <row r="85" ht="15.75" customHeight="1">
      <c r="B85" s="6"/>
      <c r="C85" s="6"/>
      <c r="E85" s="10"/>
      <c r="G85" s="6"/>
      <c r="H85" s="6"/>
    </row>
    <row r="86" ht="15.75" customHeight="1">
      <c r="B86" s="6"/>
      <c r="C86" s="6"/>
      <c r="E86" s="10"/>
      <c r="G86" s="6"/>
      <c r="H86" s="6"/>
    </row>
    <row r="87" ht="15.75" customHeight="1">
      <c r="B87" s="6"/>
      <c r="C87" s="6"/>
      <c r="E87" s="10"/>
      <c r="G87" s="6"/>
      <c r="H87" s="6"/>
    </row>
    <row r="88" ht="15.75" customHeight="1">
      <c r="B88" s="6"/>
      <c r="C88" s="6"/>
      <c r="E88" s="10"/>
      <c r="G88" s="6"/>
      <c r="H88" s="6"/>
    </row>
    <row r="89" ht="15.75" customHeight="1">
      <c r="B89" s="6"/>
      <c r="C89" s="6"/>
      <c r="E89" s="10"/>
      <c r="G89" s="6"/>
      <c r="H89" s="6"/>
    </row>
    <row r="90" ht="15.75" customHeight="1">
      <c r="B90" s="6"/>
      <c r="C90" s="6"/>
      <c r="E90" s="10"/>
      <c r="G90" s="6"/>
      <c r="H90" s="6"/>
    </row>
    <row r="91" ht="15.75" customHeight="1">
      <c r="B91" s="6"/>
      <c r="C91" s="6"/>
      <c r="E91" s="10"/>
      <c r="G91" s="6"/>
      <c r="H91" s="6"/>
    </row>
    <row r="92" ht="15.75" customHeight="1">
      <c r="B92" s="6"/>
      <c r="C92" s="6"/>
      <c r="E92" s="10"/>
      <c r="G92" s="6"/>
      <c r="H92" s="6"/>
    </row>
    <row r="93" ht="15.75" customHeight="1">
      <c r="B93" s="6"/>
      <c r="C93" s="6"/>
      <c r="E93" s="10"/>
      <c r="G93" s="6"/>
      <c r="H93" s="6"/>
    </row>
    <row r="94" ht="15.75" customHeight="1">
      <c r="B94" s="6"/>
      <c r="C94" s="6"/>
      <c r="E94" s="10"/>
      <c r="G94" s="6"/>
      <c r="H94" s="6"/>
    </row>
    <row r="95" ht="15.75" customHeight="1">
      <c r="B95" s="6"/>
      <c r="C95" s="6"/>
      <c r="E95" s="10"/>
      <c r="G95" s="6"/>
      <c r="H95" s="6"/>
    </row>
    <row r="96" ht="15.75" customHeight="1">
      <c r="B96" s="6"/>
      <c r="C96" s="6"/>
      <c r="E96" s="10"/>
      <c r="G96" s="6"/>
      <c r="H96" s="6"/>
    </row>
    <row r="97" ht="15.75" customHeight="1">
      <c r="B97" s="6"/>
      <c r="C97" s="6"/>
      <c r="E97" s="10"/>
      <c r="G97" s="6"/>
      <c r="H97" s="6"/>
    </row>
    <row r="98" ht="15.75" customHeight="1">
      <c r="B98" s="6"/>
      <c r="C98" s="6"/>
      <c r="E98" s="10"/>
      <c r="G98" s="6"/>
      <c r="H98" s="6"/>
    </row>
    <row r="99" ht="15.75" customHeight="1">
      <c r="B99" s="6"/>
      <c r="C99" s="6"/>
      <c r="E99" s="10"/>
      <c r="G99" s="6"/>
      <c r="H99" s="6"/>
    </row>
    <row r="100" ht="15.75" customHeight="1">
      <c r="B100" s="6"/>
      <c r="C100" s="6"/>
      <c r="E100" s="10"/>
      <c r="G100" s="6"/>
      <c r="H100" s="6"/>
    </row>
    <row r="101" ht="15.75" customHeight="1">
      <c r="B101" s="6"/>
      <c r="C101" s="6"/>
      <c r="E101" s="10"/>
      <c r="G101" s="6"/>
      <c r="H101" s="6"/>
    </row>
    <row r="102" ht="15.75" customHeight="1">
      <c r="B102" s="6"/>
      <c r="C102" s="6"/>
      <c r="E102" s="10"/>
      <c r="G102" s="6"/>
      <c r="H102" s="6"/>
    </row>
    <row r="103" ht="15.75" customHeight="1">
      <c r="B103" s="6"/>
      <c r="C103" s="6"/>
      <c r="E103" s="10"/>
      <c r="G103" s="6"/>
      <c r="H103" s="6"/>
    </row>
    <row r="104" ht="15.75" customHeight="1">
      <c r="B104" s="6"/>
      <c r="C104" s="6"/>
      <c r="E104" s="10"/>
      <c r="G104" s="6"/>
      <c r="H104" s="6"/>
    </row>
    <row r="105" ht="15.75" customHeight="1">
      <c r="B105" s="6"/>
      <c r="C105" s="6"/>
      <c r="E105" s="10"/>
      <c r="G105" s="6"/>
      <c r="H105" s="6"/>
    </row>
    <row r="106" ht="15.75" customHeight="1">
      <c r="B106" s="6"/>
      <c r="C106" s="6"/>
      <c r="E106" s="10"/>
      <c r="G106" s="6"/>
      <c r="H106" s="6"/>
    </row>
    <row r="107" ht="15.75" customHeight="1">
      <c r="B107" s="6"/>
      <c r="C107" s="6"/>
      <c r="E107" s="10"/>
      <c r="G107" s="6"/>
      <c r="H107" s="6"/>
    </row>
    <row r="108" ht="15.75" customHeight="1">
      <c r="B108" s="6"/>
      <c r="C108" s="6"/>
      <c r="E108" s="10"/>
      <c r="G108" s="6"/>
      <c r="H108" s="6"/>
    </row>
    <row r="109" ht="15.75" customHeight="1">
      <c r="B109" s="6"/>
      <c r="C109" s="6"/>
      <c r="E109" s="10"/>
      <c r="G109" s="6"/>
      <c r="H109" s="6"/>
    </row>
    <row r="110" ht="15.75" customHeight="1">
      <c r="B110" s="6"/>
      <c r="C110" s="6"/>
      <c r="E110" s="10"/>
      <c r="G110" s="6"/>
      <c r="H110" s="6"/>
    </row>
    <row r="111" ht="15.75" customHeight="1">
      <c r="B111" s="6"/>
      <c r="C111" s="6"/>
      <c r="E111" s="10"/>
      <c r="G111" s="6"/>
      <c r="H111" s="6"/>
    </row>
    <row r="112" ht="15.75" customHeight="1">
      <c r="B112" s="6"/>
      <c r="C112" s="6"/>
      <c r="E112" s="10"/>
      <c r="G112" s="6"/>
      <c r="H112" s="6"/>
    </row>
    <row r="113" ht="15.75" customHeight="1">
      <c r="B113" s="6"/>
      <c r="C113" s="6"/>
      <c r="E113" s="10"/>
      <c r="G113" s="6"/>
      <c r="H113" s="6"/>
    </row>
    <row r="114" ht="15.75" customHeight="1">
      <c r="B114" s="6"/>
      <c r="C114" s="6"/>
      <c r="E114" s="10"/>
      <c r="G114" s="6"/>
      <c r="H114" s="6"/>
    </row>
    <row r="115" ht="15.75" customHeight="1">
      <c r="B115" s="6"/>
      <c r="C115" s="6"/>
      <c r="E115" s="10"/>
      <c r="G115" s="6"/>
      <c r="H115" s="6"/>
    </row>
    <row r="116" ht="15.75" customHeight="1">
      <c r="B116" s="6"/>
      <c r="C116" s="6"/>
      <c r="E116" s="10"/>
      <c r="G116" s="6"/>
      <c r="H116" s="6"/>
    </row>
    <row r="117" ht="15.75" customHeight="1">
      <c r="B117" s="6"/>
      <c r="C117" s="6"/>
      <c r="E117" s="10"/>
      <c r="G117" s="6"/>
      <c r="H117" s="6"/>
    </row>
    <row r="118" ht="15.75" customHeight="1">
      <c r="B118" s="6"/>
      <c r="C118" s="6"/>
      <c r="E118" s="10"/>
      <c r="G118" s="6"/>
      <c r="H118" s="6"/>
    </row>
    <row r="119" ht="15.75" customHeight="1">
      <c r="B119" s="6"/>
      <c r="C119" s="6"/>
      <c r="E119" s="10"/>
      <c r="G119" s="6"/>
      <c r="H119" s="6"/>
    </row>
    <row r="120" ht="15.75" customHeight="1">
      <c r="B120" s="6"/>
      <c r="C120" s="6"/>
      <c r="E120" s="10"/>
      <c r="G120" s="6"/>
      <c r="H120" s="6"/>
    </row>
    <row r="121" ht="15.75" customHeight="1">
      <c r="B121" s="6"/>
      <c r="C121" s="6"/>
      <c r="E121" s="10"/>
      <c r="G121" s="6"/>
      <c r="H121" s="6"/>
    </row>
    <row r="122" ht="15.75" customHeight="1">
      <c r="B122" s="6"/>
      <c r="C122" s="6"/>
      <c r="E122" s="10"/>
      <c r="G122" s="6"/>
      <c r="H122" s="6"/>
    </row>
    <row r="123" ht="15.75" customHeight="1">
      <c r="B123" s="6"/>
      <c r="C123" s="6"/>
      <c r="E123" s="10"/>
      <c r="G123" s="6"/>
      <c r="H123" s="6"/>
    </row>
    <row r="124" ht="15.75" customHeight="1">
      <c r="B124" s="6"/>
      <c r="C124" s="6"/>
      <c r="E124" s="10"/>
      <c r="G124" s="6"/>
      <c r="H124" s="6"/>
    </row>
    <row r="125" ht="15.75" customHeight="1">
      <c r="B125" s="6"/>
      <c r="C125" s="6"/>
      <c r="E125" s="10"/>
      <c r="G125" s="6"/>
      <c r="H125" s="6"/>
    </row>
    <row r="126" ht="15.75" customHeight="1">
      <c r="B126" s="6"/>
      <c r="C126" s="6"/>
      <c r="E126" s="10"/>
      <c r="G126" s="6"/>
      <c r="H126" s="6"/>
    </row>
    <row r="127" ht="15.75" customHeight="1">
      <c r="B127" s="6"/>
      <c r="C127" s="6"/>
      <c r="E127" s="10"/>
      <c r="G127" s="6"/>
      <c r="H127" s="6"/>
    </row>
    <row r="128" ht="15.75" customHeight="1">
      <c r="B128" s="6"/>
      <c r="C128" s="6"/>
      <c r="E128" s="10"/>
      <c r="G128" s="6"/>
      <c r="H128" s="6"/>
    </row>
    <row r="129" ht="15.75" customHeight="1">
      <c r="B129" s="6"/>
      <c r="C129" s="6"/>
      <c r="E129" s="10"/>
      <c r="G129" s="6"/>
      <c r="H129" s="6"/>
    </row>
    <row r="130" ht="15.75" customHeight="1">
      <c r="B130" s="6"/>
      <c r="C130" s="6"/>
      <c r="E130" s="10"/>
      <c r="G130" s="6"/>
      <c r="H130" s="6"/>
    </row>
    <row r="131" ht="15.75" customHeight="1">
      <c r="B131" s="6"/>
      <c r="C131" s="6"/>
      <c r="E131" s="10"/>
      <c r="G131" s="6"/>
      <c r="H131" s="6"/>
    </row>
    <row r="132" ht="15.75" customHeight="1">
      <c r="B132" s="6"/>
      <c r="C132" s="6"/>
      <c r="E132" s="10"/>
      <c r="G132" s="6"/>
      <c r="H132" s="6"/>
    </row>
    <row r="133" ht="15.75" customHeight="1">
      <c r="B133" s="6"/>
      <c r="C133" s="6"/>
      <c r="E133" s="10"/>
      <c r="G133" s="6"/>
      <c r="H133" s="6"/>
    </row>
    <row r="134" ht="15.75" customHeight="1">
      <c r="B134" s="6"/>
      <c r="C134" s="6"/>
      <c r="E134" s="10"/>
      <c r="G134" s="6"/>
      <c r="H134" s="6"/>
    </row>
    <row r="135" ht="15.75" customHeight="1">
      <c r="B135" s="6"/>
      <c r="C135" s="6"/>
      <c r="E135" s="10"/>
      <c r="G135" s="6"/>
      <c r="H135" s="6"/>
    </row>
    <row r="136" ht="15.75" customHeight="1">
      <c r="B136" s="6"/>
      <c r="C136" s="6"/>
      <c r="E136" s="10"/>
      <c r="G136" s="6"/>
      <c r="H136" s="6"/>
    </row>
    <row r="137" ht="15.75" customHeight="1">
      <c r="B137" s="6"/>
      <c r="C137" s="6"/>
      <c r="E137" s="10"/>
      <c r="G137" s="6"/>
      <c r="H137" s="6"/>
    </row>
    <row r="138" ht="15.75" customHeight="1">
      <c r="B138" s="6"/>
      <c r="C138" s="6"/>
      <c r="E138" s="10"/>
      <c r="G138" s="6"/>
      <c r="H138" s="6"/>
    </row>
    <row r="139" ht="15.75" customHeight="1">
      <c r="B139" s="6"/>
      <c r="C139" s="6"/>
      <c r="E139" s="10"/>
      <c r="G139" s="6"/>
      <c r="H139" s="6"/>
    </row>
    <row r="140" ht="15.75" customHeight="1">
      <c r="B140" s="6"/>
      <c r="C140" s="6"/>
      <c r="E140" s="10"/>
      <c r="G140" s="6"/>
      <c r="H140" s="6"/>
    </row>
    <row r="141" ht="15.75" customHeight="1">
      <c r="B141" s="6"/>
      <c r="C141" s="6"/>
      <c r="E141" s="10"/>
      <c r="G141" s="6"/>
      <c r="H141" s="6"/>
    </row>
    <row r="142" ht="15.75" customHeight="1">
      <c r="B142" s="6"/>
      <c r="C142" s="6"/>
      <c r="E142" s="10"/>
      <c r="G142" s="6"/>
      <c r="H142" s="6"/>
    </row>
    <row r="143" ht="15.75" customHeight="1">
      <c r="B143" s="6"/>
      <c r="C143" s="6"/>
      <c r="E143" s="10"/>
      <c r="G143" s="6"/>
      <c r="H143" s="6"/>
    </row>
    <row r="144" ht="15.75" customHeight="1">
      <c r="B144" s="6"/>
      <c r="C144" s="6"/>
      <c r="E144" s="10"/>
      <c r="G144" s="6"/>
      <c r="H144" s="6"/>
    </row>
    <row r="145" ht="15.75" customHeight="1">
      <c r="B145" s="6"/>
      <c r="C145" s="6"/>
      <c r="E145" s="10"/>
      <c r="G145" s="6"/>
      <c r="H145" s="6"/>
    </row>
    <row r="146" ht="15.75" customHeight="1">
      <c r="B146" s="6"/>
      <c r="C146" s="6"/>
      <c r="E146" s="10"/>
      <c r="G146" s="6"/>
      <c r="H146" s="6"/>
    </row>
    <row r="147" ht="15.75" customHeight="1">
      <c r="B147" s="6"/>
      <c r="C147" s="6"/>
      <c r="E147" s="10"/>
      <c r="G147" s="6"/>
      <c r="H147" s="6"/>
    </row>
    <row r="148" ht="15.75" customHeight="1">
      <c r="B148" s="6"/>
      <c r="C148" s="6"/>
      <c r="E148" s="10"/>
      <c r="G148" s="6"/>
      <c r="H148" s="6"/>
    </row>
    <row r="149" ht="15.75" customHeight="1">
      <c r="B149" s="6"/>
      <c r="C149" s="6"/>
      <c r="E149" s="10"/>
      <c r="G149" s="6"/>
      <c r="H149" s="6"/>
    </row>
    <row r="150" ht="15.75" customHeight="1">
      <c r="B150" s="6"/>
      <c r="C150" s="6"/>
      <c r="E150" s="10"/>
      <c r="G150" s="6"/>
      <c r="H150" s="6"/>
    </row>
    <row r="151" ht="15.75" customHeight="1">
      <c r="B151" s="6"/>
      <c r="C151" s="6"/>
      <c r="E151" s="10"/>
      <c r="G151" s="6"/>
      <c r="H151" s="6"/>
    </row>
    <row r="152" ht="15.75" customHeight="1">
      <c r="B152" s="6"/>
      <c r="C152" s="6"/>
      <c r="E152" s="10"/>
      <c r="G152" s="6"/>
      <c r="H152" s="6"/>
    </row>
    <row r="153" ht="15.75" customHeight="1">
      <c r="B153" s="6"/>
      <c r="C153" s="6"/>
      <c r="E153" s="10"/>
      <c r="G153" s="6"/>
      <c r="H153" s="6"/>
    </row>
    <row r="154" ht="15.75" customHeight="1">
      <c r="B154" s="6"/>
      <c r="C154" s="6"/>
      <c r="E154" s="10"/>
      <c r="G154" s="6"/>
      <c r="H154" s="6"/>
    </row>
    <row r="155" ht="15.75" customHeight="1">
      <c r="B155" s="6"/>
      <c r="C155" s="6"/>
      <c r="E155" s="10"/>
      <c r="G155" s="6"/>
      <c r="H155" s="6"/>
    </row>
    <row r="156" ht="15.75" customHeight="1">
      <c r="B156" s="6"/>
      <c r="C156" s="6"/>
      <c r="E156" s="10"/>
      <c r="G156" s="6"/>
      <c r="H156" s="6"/>
    </row>
    <row r="157" ht="15.75" customHeight="1">
      <c r="B157" s="6"/>
      <c r="C157" s="6"/>
      <c r="E157" s="10"/>
      <c r="G157" s="6"/>
      <c r="H157" s="6"/>
    </row>
    <row r="158" ht="15.75" customHeight="1">
      <c r="B158" s="6"/>
      <c r="C158" s="6"/>
      <c r="E158" s="10"/>
      <c r="G158" s="6"/>
      <c r="H158" s="6"/>
    </row>
    <row r="159" ht="15.75" customHeight="1">
      <c r="B159" s="6"/>
      <c r="C159" s="6"/>
      <c r="E159" s="10"/>
      <c r="G159" s="6"/>
      <c r="H159" s="6"/>
    </row>
    <row r="160" ht="15.75" customHeight="1">
      <c r="B160" s="6"/>
      <c r="C160" s="6"/>
      <c r="E160" s="10"/>
      <c r="G160" s="6"/>
      <c r="H160" s="6"/>
    </row>
    <row r="161" ht="15.75" customHeight="1">
      <c r="B161" s="6"/>
      <c r="C161" s="6"/>
      <c r="E161" s="10"/>
      <c r="G161" s="6"/>
      <c r="H161" s="6"/>
    </row>
    <row r="162" ht="15.75" customHeight="1">
      <c r="B162" s="6"/>
      <c r="C162" s="6"/>
      <c r="E162" s="10"/>
      <c r="G162" s="6"/>
      <c r="H162" s="6"/>
    </row>
    <row r="163" ht="15.75" customHeight="1">
      <c r="B163" s="6"/>
      <c r="C163" s="6"/>
      <c r="E163" s="10"/>
      <c r="G163" s="6"/>
      <c r="H163" s="6"/>
    </row>
    <row r="164" ht="15.75" customHeight="1">
      <c r="B164" s="6"/>
      <c r="C164" s="6"/>
      <c r="E164" s="10"/>
      <c r="G164" s="6"/>
      <c r="H164" s="6"/>
    </row>
    <row r="165" ht="15.75" customHeight="1">
      <c r="B165" s="6"/>
      <c r="C165" s="6"/>
      <c r="E165" s="10"/>
      <c r="G165" s="6"/>
      <c r="H165" s="6"/>
    </row>
    <row r="166" ht="15.75" customHeight="1">
      <c r="B166" s="6"/>
      <c r="C166" s="6"/>
      <c r="E166" s="10"/>
      <c r="G166" s="6"/>
      <c r="H166" s="6"/>
    </row>
    <row r="167" ht="15.75" customHeight="1">
      <c r="B167" s="6"/>
      <c r="C167" s="6"/>
      <c r="E167" s="10"/>
      <c r="G167" s="6"/>
      <c r="H167" s="6"/>
    </row>
    <row r="168" ht="15.75" customHeight="1">
      <c r="B168" s="6"/>
      <c r="C168" s="6"/>
      <c r="E168" s="10"/>
      <c r="G168" s="6"/>
      <c r="H168" s="6"/>
    </row>
    <row r="169" ht="15.75" customHeight="1">
      <c r="B169" s="6"/>
      <c r="C169" s="6"/>
      <c r="E169" s="10"/>
      <c r="G169" s="6"/>
      <c r="H169" s="6"/>
    </row>
    <row r="170" ht="15.75" customHeight="1">
      <c r="B170" s="6"/>
      <c r="C170" s="6"/>
      <c r="E170" s="10"/>
      <c r="G170" s="6"/>
      <c r="H170" s="6"/>
    </row>
    <row r="171" ht="15.75" customHeight="1">
      <c r="B171" s="6"/>
      <c r="C171" s="6"/>
      <c r="E171" s="10"/>
      <c r="G171" s="6"/>
      <c r="H171" s="6"/>
    </row>
    <row r="172" ht="15.75" customHeight="1">
      <c r="B172" s="6"/>
      <c r="C172" s="6"/>
      <c r="E172" s="10"/>
      <c r="G172" s="6"/>
      <c r="H172" s="6"/>
    </row>
    <row r="173" ht="15.75" customHeight="1">
      <c r="B173" s="6"/>
      <c r="C173" s="6"/>
      <c r="E173" s="10"/>
      <c r="G173" s="6"/>
      <c r="H173" s="6"/>
    </row>
    <row r="174" ht="15.75" customHeight="1">
      <c r="B174" s="6"/>
      <c r="C174" s="6"/>
      <c r="E174" s="10"/>
      <c r="G174" s="6"/>
      <c r="H174" s="6"/>
    </row>
    <row r="175" ht="15.75" customHeight="1">
      <c r="B175" s="6"/>
      <c r="C175" s="6"/>
      <c r="E175" s="10"/>
      <c r="G175" s="6"/>
      <c r="H175" s="6"/>
    </row>
    <row r="176" ht="15.75" customHeight="1">
      <c r="B176" s="6"/>
      <c r="C176" s="6"/>
      <c r="E176" s="10"/>
      <c r="G176" s="6"/>
      <c r="H176" s="6"/>
    </row>
    <row r="177" ht="15.75" customHeight="1">
      <c r="B177" s="6"/>
      <c r="C177" s="6"/>
      <c r="E177" s="10"/>
      <c r="G177" s="6"/>
      <c r="H177" s="6"/>
    </row>
    <row r="178" ht="15.75" customHeight="1">
      <c r="B178" s="6"/>
      <c r="C178" s="6"/>
      <c r="E178" s="10"/>
      <c r="G178" s="6"/>
      <c r="H178" s="6"/>
    </row>
    <row r="179" ht="15.75" customHeight="1">
      <c r="B179" s="6"/>
      <c r="C179" s="6"/>
      <c r="E179" s="10"/>
      <c r="G179" s="6"/>
      <c r="H179" s="6"/>
    </row>
    <row r="180" ht="15.75" customHeight="1">
      <c r="B180" s="6"/>
      <c r="C180" s="6"/>
      <c r="E180" s="10"/>
      <c r="G180" s="6"/>
      <c r="H180" s="6"/>
    </row>
    <row r="181" ht="15.75" customHeight="1">
      <c r="B181" s="6"/>
      <c r="C181" s="6"/>
      <c r="E181" s="10"/>
      <c r="G181" s="6"/>
      <c r="H181" s="6"/>
    </row>
    <row r="182" ht="15.75" customHeight="1">
      <c r="B182" s="6"/>
      <c r="C182" s="6"/>
      <c r="E182" s="10"/>
      <c r="G182" s="6"/>
      <c r="H182" s="6"/>
    </row>
    <row r="183" ht="15.75" customHeight="1">
      <c r="B183" s="6"/>
      <c r="C183" s="6"/>
      <c r="E183" s="10"/>
      <c r="G183" s="6"/>
      <c r="H183" s="6"/>
    </row>
    <row r="184" ht="15.75" customHeight="1">
      <c r="B184" s="6"/>
      <c r="C184" s="6"/>
      <c r="E184" s="10"/>
      <c r="G184" s="6"/>
      <c r="H184" s="6"/>
    </row>
    <row r="185" ht="15.75" customHeight="1">
      <c r="B185" s="6"/>
      <c r="C185" s="6"/>
      <c r="E185" s="10"/>
      <c r="G185" s="6"/>
      <c r="H185" s="6"/>
    </row>
    <row r="186" ht="15.75" customHeight="1">
      <c r="B186" s="6"/>
      <c r="C186" s="6"/>
      <c r="E186" s="10"/>
      <c r="G186" s="6"/>
      <c r="H186" s="6"/>
    </row>
    <row r="187" ht="15.75" customHeight="1">
      <c r="B187" s="6"/>
      <c r="C187" s="6"/>
      <c r="E187" s="10"/>
      <c r="G187" s="6"/>
      <c r="H187" s="6"/>
    </row>
    <row r="188" ht="15.75" customHeight="1">
      <c r="B188" s="6"/>
      <c r="C188" s="6"/>
      <c r="E188" s="10"/>
      <c r="G188" s="6"/>
      <c r="H188" s="6"/>
    </row>
    <row r="189" ht="15.75" customHeight="1">
      <c r="B189" s="6"/>
      <c r="C189" s="6"/>
      <c r="E189" s="10"/>
      <c r="G189" s="6"/>
      <c r="H189" s="6"/>
    </row>
    <row r="190" ht="15.75" customHeight="1">
      <c r="B190" s="6"/>
      <c r="C190" s="6"/>
      <c r="E190" s="10"/>
      <c r="G190" s="6"/>
      <c r="H190" s="6"/>
    </row>
    <row r="191" ht="15.75" customHeight="1">
      <c r="B191" s="6"/>
      <c r="C191" s="6"/>
      <c r="E191" s="10"/>
      <c r="G191" s="6"/>
      <c r="H191" s="6"/>
    </row>
    <row r="192" ht="15.75" customHeight="1">
      <c r="B192" s="6"/>
      <c r="C192" s="6"/>
      <c r="E192" s="10"/>
      <c r="G192" s="6"/>
      <c r="H192" s="6"/>
    </row>
    <row r="193" ht="15.75" customHeight="1">
      <c r="B193" s="6"/>
      <c r="C193" s="6"/>
      <c r="E193" s="10"/>
      <c r="G193" s="6"/>
      <c r="H193" s="6"/>
    </row>
    <row r="194" ht="15.75" customHeight="1">
      <c r="B194" s="6"/>
      <c r="C194" s="6"/>
      <c r="E194" s="10"/>
      <c r="G194" s="6"/>
      <c r="H194" s="6"/>
    </row>
    <row r="195" ht="15.75" customHeight="1">
      <c r="B195" s="6"/>
      <c r="C195" s="6"/>
      <c r="E195" s="10"/>
      <c r="G195" s="6"/>
      <c r="H195" s="6"/>
    </row>
    <row r="196" ht="15.75" customHeight="1">
      <c r="B196" s="6"/>
      <c r="C196" s="6"/>
      <c r="E196" s="10"/>
      <c r="G196" s="6"/>
      <c r="H196" s="6"/>
    </row>
    <row r="197" ht="15.75" customHeight="1">
      <c r="B197" s="6"/>
      <c r="C197" s="6"/>
      <c r="E197" s="10"/>
      <c r="G197" s="6"/>
      <c r="H197" s="6"/>
    </row>
    <row r="198" ht="15.75" customHeight="1">
      <c r="B198" s="6"/>
      <c r="C198" s="6"/>
      <c r="E198" s="10"/>
      <c r="G198" s="6"/>
      <c r="H198" s="6"/>
    </row>
    <row r="199" ht="15.75" customHeight="1">
      <c r="B199" s="6"/>
      <c r="C199" s="6"/>
      <c r="E199" s="10"/>
      <c r="G199" s="6"/>
      <c r="H199" s="6"/>
    </row>
    <row r="200" ht="15.75" customHeight="1">
      <c r="B200" s="6"/>
      <c r="C200" s="6"/>
      <c r="E200" s="10"/>
      <c r="G200" s="6"/>
      <c r="H200" s="6"/>
    </row>
    <row r="201" ht="15.75" customHeight="1">
      <c r="B201" s="6"/>
      <c r="C201" s="6"/>
      <c r="E201" s="10"/>
      <c r="G201" s="6"/>
      <c r="H201" s="6"/>
    </row>
    <row r="202" ht="15.75" customHeight="1">
      <c r="B202" s="6"/>
      <c r="C202" s="6"/>
      <c r="E202" s="10"/>
      <c r="G202" s="6"/>
      <c r="H202" s="6"/>
    </row>
    <row r="203" ht="15.75" customHeight="1">
      <c r="B203" s="6"/>
      <c r="C203" s="6"/>
      <c r="E203" s="10"/>
      <c r="G203" s="6"/>
      <c r="H203" s="6"/>
    </row>
    <row r="204" ht="15.75" customHeight="1">
      <c r="B204" s="6"/>
      <c r="C204" s="6"/>
      <c r="E204" s="10"/>
      <c r="G204" s="6"/>
      <c r="H204" s="6"/>
    </row>
    <row r="205" ht="15.75" customHeight="1">
      <c r="B205" s="6"/>
      <c r="C205" s="6"/>
      <c r="E205" s="10"/>
      <c r="G205" s="6"/>
      <c r="H205" s="6"/>
    </row>
    <row r="206" ht="15.75" customHeight="1">
      <c r="B206" s="6"/>
      <c r="C206" s="6"/>
      <c r="E206" s="10"/>
      <c r="G206" s="6"/>
      <c r="H206" s="6"/>
    </row>
    <row r="207" ht="15.75" customHeight="1">
      <c r="B207" s="6"/>
      <c r="C207" s="6"/>
      <c r="E207" s="10"/>
      <c r="G207" s="6"/>
      <c r="H207" s="6"/>
    </row>
    <row r="208" ht="15.75" customHeight="1">
      <c r="B208" s="6"/>
      <c r="C208" s="6"/>
      <c r="E208" s="10"/>
      <c r="G208" s="6"/>
      <c r="H208" s="6"/>
    </row>
    <row r="209" ht="15.75" customHeight="1">
      <c r="B209" s="6"/>
      <c r="C209" s="6"/>
      <c r="E209" s="10"/>
      <c r="G209" s="6"/>
      <c r="H209" s="6"/>
    </row>
    <row r="210" ht="15.75" customHeight="1">
      <c r="B210" s="6"/>
      <c r="C210" s="6"/>
      <c r="E210" s="10"/>
      <c r="G210" s="6"/>
      <c r="H210" s="6"/>
    </row>
    <row r="211" ht="15.75" customHeight="1">
      <c r="B211" s="6"/>
      <c r="C211" s="6"/>
      <c r="E211" s="10"/>
      <c r="G211" s="6"/>
      <c r="H211" s="6"/>
    </row>
    <row r="212" ht="15.75" customHeight="1">
      <c r="B212" s="6"/>
      <c r="C212" s="6"/>
      <c r="E212" s="10"/>
      <c r="G212" s="6"/>
      <c r="H212" s="6"/>
    </row>
    <row r="213" ht="15.75" customHeight="1">
      <c r="B213" s="6"/>
      <c r="C213" s="6"/>
      <c r="E213" s="10"/>
      <c r="G213" s="6"/>
      <c r="H213" s="6"/>
    </row>
    <row r="214" ht="15.75" customHeight="1">
      <c r="B214" s="6"/>
      <c r="C214" s="6"/>
      <c r="E214" s="10"/>
      <c r="G214" s="6"/>
      <c r="H214" s="6"/>
    </row>
    <row r="215" ht="15.75" customHeight="1">
      <c r="B215" s="6"/>
      <c r="C215" s="6"/>
      <c r="E215" s="10"/>
      <c r="G215" s="6"/>
      <c r="H215" s="6"/>
    </row>
    <row r="216" ht="15.75" customHeight="1">
      <c r="B216" s="6"/>
      <c r="C216" s="6"/>
      <c r="E216" s="10"/>
      <c r="G216" s="6"/>
      <c r="H216" s="6"/>
    </row>
    <row r="217" ht="15.75" customHeight="1">
      <c r="B217" s="6"/>
      <c r="C217" s="6"/>
      <c r="E217" s="10"/>
      <c r="G217" s="6"/>
      <c r="H217" s="6"/>
    </row>
    <row r="218" ht="15.75" customHeight="1">
      <c r="B218" s="6"/>
      <c r="C218" s="6"/>
      <c r="E218" s="10"/>
      <c r="G218" s="6"/>
      <c r="H218" s="6"/>
    </row>
    <row r="219" ht="15.75" customHeight="1">
      <c r="B219" s="6"/>
      <c r="C219" s="6"/>
      <c r="E219" s="10"/>
      <c r="G219" s="6"/>
      <c r="H219" s="6"/>
    </row>
    <row r="220" ht="15.75" customHeight="1">
      <c r="B220" s="6"/>
      <c r="C220" s="6"/>
      <c r="E220" s="10"/>
      <c r="G220" s="6"/>
      <c r="H220" s="6"/>
    </row>
    <row r="221" ht="15.75" customHeight="1">
      <c r="B221" s="6"/>
      <c r="C221" s="6"/>
      <c r="E221" s="10"/>
      <c r="G221" s="6"/>
      <c r="H221" s="6"/>
    </row>
    <row r="222" ht="15.75" customHeight="1">
      <c r="B222" s="6"/>
      <c r="C222" s="6"/>
      <c r="E222" s="10"/>
      <c r="G222" s="6"/>
      <c r="H222" s="6"/>
    </row>
    <row r="223" ht="15.75" customHeight="1">
      <c r="B223" s="6"/>
      <c r="C223" s="6"/>
      <c r="E223" s="10"/>
      <c r="G223" s="6"/>
      <c r="H223" s="6"/>
    </row>
    <row r="224" ht="15.75" customHeight="1">
      <c r="B224" s="6"/>
      <c r="C224" s="6"/>
      <c r="E224" s="10"/>
      <c r="G224" s="6"/>
      <c r="H224" s="6"/>
    </row>
    <row r="225" ht="15.75" customHeight="1">
      <c r="B225" s="6"/>
      <c r="C225" s="6"/>
      <c r="E225" s="10"/>
      <c r="G225" s="6"/>
      <c r="H225" s="6"/>
    </row>
    <row r="226" ht="15.75" customHeight="1">
      <c r="B226" s="6"/>
      <c r="C226" s="6"/>
      <c r="E226" s="10"/>
      <c r="G226" s="6"/>
      <c r="H226" s="6"/>
    </row>
    <row r="227" ht="15.75" customHeight="1">
      <c r="B227" s="6"/>
      <c r="C227" s="6"/>
      <c r="E227" s="10"/>
      <c r="G227" s="6"/>
      <c r="H227" s="6"/>
    </row>
    <row r="228" ht="15.75" customHeight="1">
      <c r="B228" s="6"/>
      <c r="C228" s="6"/>
      <c r="E228" s="10"/>
      <c r="G228" s="6"/>
      <c r="H228" s="6"/>
    </row>
    <row r="229" ht="15.75" customHeight="1">
      <c r="B229" s="6"/>
      <c r="C229" s="6"/>
      <c r="E229" s="10"/>
      <c r="G229" s="6"/>
      <c r="H229" s="6"/>
    </row>
    <row r="230" ht="15.75" customHeight="1">
      <c r="B230" s="6"/>
      <c r="C230" s="6"/>
      <c r="E230" s="10"/>
      <c r="G230" s="6"/>
      <c r="H230" s="6"/>
    </row>
    <row r="231" ht="15.75" customHeight="1">
      <c r="B231" s="6"/>
      <c r="C231" s="6"/>
      <c r="E231" s="10"/>
      <c r="G231" s="6"/>
      <c r="H231" s="6"/>
    </row>
    <row r="232" ht="15.75" customHeight="1">
      <c r="B232" s="6"/>
      <c r="C232" s="6"/>
      <c r="E232" s="10"/>
      <c r="G232" s="6"/>
      <c r="H232" s="6"/>
    </row>
    <row r="233" ht="15.75" customHeight="1">
      <c r="B233" s="6"/>
      <c r="C233" s="6"/>
      <c r="E233" s="10"/>
      <c r="G233" s="6"/>
      <c r="H233" s="6"/>
    </row>
    <row r="234" ht="15.75" customHeight="1">
      <c r="B234" s="6"/>
      <c r="C234" s="6"/>
      <c r="E234" s="10"/>
      <c r="G234" s="6"/>
      <c r="H234" s="6"/>
    </row>
    <row r="235" ht="15.75" customHeight="1">
      <c r="B235" s="6"/>
      <c r="C235" s="6"/>
      <c r="E235" s="10"/>
      <c r="G235" s="6"/>
      <c r="H235" s="6"/>
    </row>
    <row r="236" ht="15.75" customHeight="1">
      <c r="B236" s="6"/>
      <c r="C236" s="6"/>
      <c r="E236" s="10"/>
      <c r="G236" s="6"/>
      <c r="H236" s="6"/>
    </row>
    <row r="237" ht="15.75" customHeight="1">
      <c r="B237" s="6"/>
      <c r="C237" s="6"/>
      <c r="E237" s="10"/>
      <c r="G237" s="6"/>
      <c r="H237" s="6"/>
    </row>
    <row r="238" ht="15.75" customHeight="1">
      <c r="B238" s="6"/>
      <c r="C238" s="6"/>
      <c r="E238" s="10"/>
      <c r="G238" s="6"/>
      <c r="H238" s="6"/>
    </row>
    <row r="239" ht="15.75" customHeight="1">
      <c r="B239" s="6"/>
      <c r="C239" s="6"/>
      <c r="E239" s="10"/>
      <c r="G239" s="6"/>
      <c r="H239" s="6"/>
    </row>
    <row r="240" ht="15.75" customHeight="1">
      <c r="B240" s="6"/>
      <c r="C240" s="6"/>
      <c r="E240" s="10"/>
      <c r="G240" s="6"/>
      <c r="H240" s="6"/>
    </row>
    <row r="241" ht="15.75" customHeight="1">
      <c r="B241" s="6"/>
      <c r="C241" s="6"/>
      <c r="E241" s="10"/>
      <c r="G241" s="6"/>
      <c r="H241" s="6"/>
    </row>
    <row r="242" ht="15.75" customHeight="1">
      <c r="B242" s="6"/>
      <c r="C242" s="6"/>
      <c r="E242" s="10"/>
      <c r="G242" s="6"/>
      <c r="H242" s="6"/>
    </row>
    <row r="243" ht="15.75" customHeight="1">
      <c r="B243" s="6"/>
      <c r="C243" s="6"/>
      <c r="E243" s="10"/>
      <c r="G243" s="6"/>
      <c r="H243" s="6"/>
    </row>
    <row r="244" ht="15.75" customHeight="1">
      <c r="B244" s="6"/>
      <c r="C244" s="6"/>
      <c r="E244" s="10"/>
      <c r="G244" s="6"/>
      <c r="H244" s="6"/>
    </row>
    <row r="245" ht="15.75" customHeight="1">
      <c r="B245" s="6"/>
      <c r="C245" s="6"/>
      <c r="E245" s="10"/>
      <c r="G245" s="6"/>
      <c r="H245" s="6"/>
    </row>
    <row r="246" ht="15.75" customHeight="1">
      <c r="B246" s="6"/>
      <c r="C246" s="6"/>
      <c r="E246" s="10"/>
      <c r="G246" s="6"/>
      <c r="H246" s="6"/>
    </row>
    <row r="247" ht="15.75" customHeight="1">
      <c r="B247" s="6"/>
      <c r="C247" s="6"/>
      <c r="E247" s="10"/>
      <c r="G247" s="6"/>
      <c r="H247" s="6"/>
    </row>
    <row r="248" ht="15.75" customHeight="1">
      <c r="B248" s="6"/>
      <c r="C248" s="6"/>
      <c r="E248" s="10"/>
      <c r="G248" s="6"/>
      <c r="H248" s="6"/>
    </row>
    <row r="249" ht="15.75" customHeight="1">
      <c r="B249" s="6"/>
      <c r="C249" s="6"/>
      <c r="E249" s="10"/>
      <c r="G249" s="6"/>
      <c r="H249" s="6"/>
    </row>
    <row r="250" ht="15.75" customHeight="1">
      <c r="B250" s="6"/>
      <c r="C250" s="6"/>
      <c r="E250" s="10"/>
      <c r="G250" s="6"/>
      <c r="H250" s="6"/>
    </row>
    <row r="251" ht="15.75" customHeight="1">
      <c r="B251" s="6"/>
      <c r="C251" s="6"/>
      <c r="E251" s="10"/>
      <c r="G251" s="6"/>
      <c r="H251" s="6"/>
    </row>
    <row r="252" ht="15.75" customHeight="1">
      <c r="B252" s="6"/>
      <c r="C252" s="6"/>
      <c r="E252" s="10"/>
      <c r="G252" s="6"/>
      <c r="H252" s="6"/>
    </row>
    <row r="253" ht="15.75" customHeight="1">
      <c r="B253" s="6"/>
      <c r="C253" s="6"/>
      <c r="E253" s="10"/>
      <c r="G253" s="6"/>
      <c r="H253" s="6"/>
    </row>
    <row r="254" ht="15.75" customHeight="1">
      <c r="B254" s="6"/>
      <c r="C254" s="6"/>
      <c r="E254" s="10"/>
      <c r="G254" s="6"/>
      <c r="H254" s="6"/>
    </row>
    <row r="255" ht="15.75" customHeight="1">
      <c r="B255" s="6"/>
      <c r="C255" s="6"/>
      <c r="E255" s="10"/>
      <c r="G255" s="6"/>
      <c r="H255" s="6"/>
    </row>
    <row r="256" ht="15.75" customHeight="1">
      <c r="B256" s="6"/>
      <c r="C256" s="6"/>
      <c r="E256" s="10"/>
      <c r="G256" s="6"/>
      <c r="H256" s="6"/>
    </row>
    <row r="257" ht="15.75" customHeight="1">
      <c r="B257" s="6"/>
      <c r="C257" s="6"/>
      <c r="E257" s="10"/>
      <c r="G257" s="6"/>
      <c r="H257" s="6"/>
    </row>
    <row r="258" ht="15.75" customHeight="1">
      <c r="B258" s="6"/>
      <c r="C258" s="6"/>
      <c r="E258" s="10"/>
      <c r="G258" s="6"/>
      <c r="H258" s="6"/>
    </row>
    <row r="259" ht="15.75" customHeight="1">
      <c r="B259" s="6"/>
      <c r="C259" s="6"/>
      <c r="E259" s="10"/>
      <c r="G259" s="6"/>
      <c r="H259" s="6"/>
    </row>
    <row r="260" ht="15.75" customHeight="1">
      <c r="B260" s="6"/>
      <c r="C260" s="6"/>
      <c r="E260" s="10"/>
      <c r="G260" s="6"/>
      <c r="H260" s="6"/>
    </row>
    <row r="261" ht="15.75" customHeight="1">
      <c r="B261" s="6"/>
      <c r="C261" s="6"/>
      <c r="E261" s="10"/>
      <c r="G261" s="6"/>
      <c r="H261" s="6"/>
    </row>
    <row r="262" ht="15.75" customHeight="1">
      <c r="B262" s="6"/>
      <c r="C262" s="6"/>
      <c r="E262" s="10"/>
      <c r="G262" s="6"/>
      <c r="H262" s="6"/>
    </row>
    <row r="263" ht="15.75" customHeight="1">
      <c r="B263" s="6"/>
      <c r="C263" s="6"/>
      <c r="E263" s="10"/>
      <c r="G263" s="6"/>
      <c r="H263" s="6"/>
    </row>
    <row r="264" ht="15.75" customHeight="1">
      <c r="B264" s="6"/>
      <c r="C264" s="6"/>
      <c r="E264" s="10"/>
      <c r="G264" s="6"/>
      <c r="H264" s="6"/>
    </row>
    <row r="265" ht="15.75" customHeight="1">
      <c r="B265" s="6"/>
      <c r="C265" s="6"/>
      <c r="E265" s="10"/>
      <c r="G265" s="6"/>
      <c r="H265" s="6"/>
    </row>
    <row r="266" ht="15.75" customHeight="1">
      <c r="B266" s="6"/>
      <c r="C266" s="6"/>
      <c r="E266" s="10"/>
      <c r="G266" s="6"/>
      <c r="H266" s="6"/>
    </row>
    <row r="267" ht="15.75" customHeight="1">
      <c r="B267" s="6"/>
      <c r="C267" s="6"/>
      <c r="E267" s="10"/>
      <c r="G267" s="6"/>
      <c r="H267" s="6"/>
    </row>
    <row r="268" ht="15.75" customHeight="1">
      <c r="B268" s="6"/>
      <c r="C268" s="6"/>
      <c r="E268" s="10"/>
      <c r="G268" s="6"/>
      <c r="H268" s="6"/>
    </row>
    <row r="269" ht="15.75" customHeight="1">
      <c r="B269" s="6"/>
      <c r="C269" s="6"/>
      <c r="E269" s="10"/>
      <c r="G269" s="6"/>
      <c r="H269" s="6"/>
    </row>
    <row r="270" ht="15.75" customHeight="1">
      <c r="B270" s="6"/>
      <c r="C270" s="6"/>
      <c r="E270" s="10"/>
      <c r="G270" s="6"/>
      <c r="H270" s="6"/>
    </row>
    <row r="271" ht="15.75" customHeight="1">
      <c r="B271" s="6"/>
      <c r="C271" s="6"/>
      <c r="E271" s="10"/>
      <c r="G271" s="6"/>
      <c r="H271" s="6"/>
    </row>
    <row r="272" ht="15.75" customHeight="1">
      <c r="B272" s="6"/>
      <c r="C272" s="6"/>
      <c r="E272" s="10"/>
      <c r="G272" s="6"/>
      <c r="H272" s="6"/>
    </row>
    <row r="273" ht="15.75" customHeight="1">
      <c r="B273" s="6"/>
      <c r="C273" s="6"/>
      <c r="E273" s="10"/>
      <c r="G273" s="6"/>
      <c r="H273" s="6"/>
    </row>
    <row r="274" ht="15.75" customHeight="1">
      <c r="B274" s="6"/>
      <c r="C274" s="6"/>
      <c r="E274" s="10"/>
      <c r="G274" s="6"/>
      <c r="H274" s="6"/>
    </row>
    <row r="275" ht="15.75" customHeight="1">
      <c r="B275" s="6"/>
      <c r="C275" s="6"/>
      <c r="E275" s="10"/>
      <c r="G275" s="6"/>
      <c r="H275" s="6"/>
    </row>
    <row r="276" ht="15.75" customHeight="1">
      <c r="B276" s="6"/>
      <c r="C276" s="6"/>
      <c r="E276" s="10"/>
      <c r="G276" s="6"/>
      <c r="H276" s="6"/>
    </row>
    <row r="277" ht="15.75" customHeight="1">
      <c r="B277" s="6"/>
      <c r="C277" s="6"/>
      <c r="E277" s="10"/>
      <c r="G277" s="6"/>
      <c r="H277" s="6"/>
    </row>
    <row r="278" ht="15.75" customHeight="1">
      <c r="B278" s="6"/>
      <c r="C278" s="6"/>
      <c r="E278" s="10"/>
      <c r="G278" s="6"/>
      <c r="H278" s="6"/>
    </row>
    <row r="279" ht="15.75" customHeight="1">
      <c r="B279" s="6"/>
      <c r="C279" s="6"/>
      <c r="E279" s="10"/>
      <c r="G279" s="6"/>
      <c r="H279" s="6"/>
    </row>
    <row r="280" ht="15.75" customHeight="1">
      <c r="B280" s="6"/>
      <c r="C280" s="6"/>
      <c r="E280" s="10"/>
      <c r="G280" s="6"/>
      <c r="H280" s="6"/>
    </row>
    <row r="281" ht="15.75" customHeight="1">
      <c r="B281" s="6"/>
      <c r="C281" s="6"/>
      <c r="E281" s="10"/>
      <c r="G281" s="6"/>
      <c r="H281" s="6"/>
    </row>
    <row r="282" ht="15.75" customHeight="1">
      <c r="B282" s="6"/>
      <c r="C282" s="6"/>
      <c r="E282" s="10"/>
      <c r="G282" s="6"/>
      <c r="H282" s="6"/>
    </row>
    <row r="283" ht="15.75" customHeight="1">
      <c r="B283" s="6"/>
      <c r="C283" s="6"/>
      <c r="E283" s="10"/>
      <c r="G283" s="6"/>
      <c r="H283" s="6"/>
    </row>
    <row r="284" ht="15.75" customHeight="1">
      <c r="B284" s="6"/>
      <c r="C284" s="6"/>
      <c r="E284" s="10"/>
      <c r="G284" s="6"/>
      <c r="H284" s="6"/>
    </row>
    <row r="285" ht="15.75" customHeight="1">
      <c r="B285" s="6"/>
      <c r="C285" s="6"/>
      <c r="E285" s="10"/>
      <c r="G285" s="6"/>
      <c r="H285" s="6"/>
    </row>
    <row r="286" ht="15.75" customHeight="1">
      <c r="B286" s="6"/>
      <c r="C286" s="6"/>
      <c r="E286" s="10"/>
      <c r="G286" s="6"/>
      <c r="H286" s="6"/>
    </row>
    <row r="287" ht="15.75" customHeight="1">
      <c r="B287" s="6"/>
      <c r="C287" s="6"/>
      <c r="E287" s="10"/>
      <c r="G287" s="6"/>
      <c r="H287" s="6"/>
    </row>
    <row r="288" ht="15.75" customHeight="1">
      <c r="B288" s="6"/>
      <c r="C288" s="6"/>
      <c r="E288" s="10"/>
      <c r="G288" s="6"/>
      <c r="H288" s="6"/>
    </row>
    <row r="289" ht="15.75" customHeight="1">
      <c r="B289" s="6"/>
      <c r="C289" s="6"/>
      <c r="E289" s="10"/>
      <c r="G289" s="6"/>
      <c r="H289" s="6"/>
    </row>
    <row r="290" ht="15.75" customHeight="1">
      <c r="B290" s="6"/>
      <c r="C290" s="6"/>
      <c r="E290" s="10"/>
      <c r="G290" s="6"/>
      <c r="H290" s="6"/>
    </row>
    <row r="291" ht="15.75" customHeight="1">
      <c r="B291" s="6"/>
      <c r="C291" s="6"/>
      <c r="E291" s="10"/>
      <c r="G291" s="6"/>
      <c r="H291" s="6"/>
    </row>
    <row r="292" ht="15.75" customHeight="1">
      <c r="B292" s="6"/>
      <c r="C292" s="6"/>
      <c r="E292" s="10"/>
      <c r="G292" s="6"/>
      <c r="H292" s="6"/>
    </row>
    <row r="293" ht="15.75" customHeight="1">
      <c r="B293" s="6"/>
      <c r="C293" s="6"/>
      <c r="E293" s="10"/>
      <c r="G293" s="6"/>
      <c r="H293" s="6"/>
    </row>
    <row r="294" ht="15.75" customHeight="1">
      <c r="B294" s="6"/>
      <c r="C294" s="6"/>
      <c r="E294" s="10"/>
      <c r="G294" s="6"/>
      <c r="H294" s="6"/>
    </row>
    <row r="295" ht="15.75" customHeight="1">
      <c r="B295" s="6"/>
      <c r="C295" s="6"/>
      <c r="E295" s="10"/>
      <c r="G295" s="6"/>
      <c r="H295" s="6"/>
    </row>
    <row r="296" ht="15.75" customHeight="1">
      <c r="B296" s="6"/>
      <c r="C296" s="6"/>
      <c r="E296" s="10"/>
      <c r="G296" s="6"/>
      <c r="H296" s="6"/>
    </row>
    <row r="297" ht="15.75" customHeight="1">
      <c r="B297" s="6"/>
      <c r="C297" s="6"/>
      <c r="E297" s="10"/>
      <c r="G297" s="6"/>
      <c r="H297" s="6"/>
    </row>
    <row r="298" ht="15.75" customHeight="1">
      <c r="B298" s="6"/>
      <c r="C298" s="6"/>
      <c r="E298" s="10"/>
      <c r="G298" s="6"/>
      <c r="H298" s="6"/>
    </row>
    <row r="299" ht="15.75" customHeight="1">
      <c r="B299" s="6"/>
      <c r="C299" s="6"/>
      <c r="E299" s="10"/>
      <c r="G299" s="6"/>
      <c r="H299" s="6"/>
    </row>
    <row r="300" ht="15.75" customHeight="1">
      <c r="B300" s="6"/>
      <c r="C300" s="6"/>
      <c r="E300" s="10"/>
      <c r="G300" s="6"/>
      <c r="H300" s="6"/>
    </row>
    <row r="301" ht="15.75" customHeight="1">
      <c r="B301" s="6"/>
      <c r="C301" s="6"/>
      <c r="E301" s="10"/>
      <c r="G301" s="6"/>
      <c r="H301" s="6"/>
    </row>
    <row r="302" ht="15.75" customHeight="1">
      <c r="B302" s="6"/>
      <c r="C302" s="6"/>
      <c r="E302" s="10"/>
      <c r="G302" s="6"/>
      <c r="H302" s="6"/>
    </row>
    <row r="303" ht="15.75" customHeight="1">
      <c r="B303" s="6"/>
      <c r="C303" s="6"/>
      <c r="E303" s="10"/>
      <c r="G303" s="6"/>
      <c r="H303" s="6"/>
    </row>
    <row r="304" ht="15.75" customHeight="1">
      <c r="B304" s="6"/>
      <c r="C304" s="6"/>
      <c r="E304" s="10"/>
      <c r="G304" s="6"/>
      <c r="H304" s="6"/>
    </row>
    <row r="305" ht="15.75" customHeight="1">
      <c r="B305" s="6"/>
      <c r="C305" s="6"/>
      <c r="E305" s="10"/>
      <c r="G305" s="6"/>
      <c r="H305" s="6"/>
    </row>
    <row r="306" ht="15.75" customHeight="1">
      <c r="B306" s="6"/>
      <c r="C306" s="6"/>
      <c r="E306" s="10"/>
      <c r="G306" s="6"/>
      <c r="H306" s="6"/>
    </row>
    <row r="307" ht="15.75" customHeight="1">
      <c r="B307" s="6"/>
      <c r="C307" s="6"/>
      <c r="E307" s="10"/>
      <c r="G307" s="6"/>
      <c r="H307" s="6"/>
    </row>
    <row r="308" ht="15.75" customHeight="1">
      <c r="B308" s="6"/>
      <c r="C308" s="6"/>
      <c r="E308" s="10"/>
      <c r="G308" s="6"/>
      <c r="H308" s="6"/>
    </row>
    <row r="309" ht="15.75" customHeight="1">
      <c r="B309" s="6"/>
      <c r="C309" s="6"/>
      <c r="E309" s="10"/>
      <c r="G309" s="6"/>
      <c r="H309" s="6"/>
    </row>
    <row r="310" ht="15.75" customHeight="1">
      <c r="B310" s="6"/>
      <c r="C310" s="6"/>
      <c r="E310" s="10"/>
      <c r="G310" s="6"/>
      <c r="H310" s="6"/>
    </row>
    <row r="311" ht="15.75" customHeight="1">
      <c r="B311" s="6"/>
      <c r="C311" s="6"/>
      <c r="E311" s="10"/>
      <c r="G311" s="6"/>
      <c r="H311" s="6"/>
    </row>
    <row r="312" ht="15.75" customHeight="1">
      <c r="B312" s="6"/>
      <c r="C312" s="6"/>
      <c r="E312" s="10"/>
      <c r="G312" s="6"/>
      <c r="H312" s="6"/>
    </row>
    <row r="313" ht="15.75" customHeight="1">
      <c r="B313" s="6"/>
      <c r="C313" s="6"/>
      <c r="E313" s="10"/>
      <c r="G313" s="6"/>
      <c r="H313" s="6"/>
    </row>
    <row r="314" ht="15.75" customHeight="1">
      <c r="B314" s="6"/>
      <c r="C314" s="6"/>
      <c r="E314" s="10"/>
      <c r="G314" s="6"/>
      <c r="H314" s="6"/>
    </row>
    <row r="315" ht="15.75" customHeight="1">
      <c r="B315" s="6"/>
      <c r="C315" s="6"/>
      <c r="E315" s="10"/>
      <c r="G315" s="6"/>
      <c r="H315" s="6"/>
    </row>
    <row r="316" ht="15.75" customHeight="1">
      <c r="B316" s="6"/>
      <c r="C316" s="6"/>
      <c r="E316" s="10"/>
      <c r="G316" s="6"/>
      <c r="H316" s="6"/>
    </row>
    <row r="317" ht="15.75" customHeight="1">
      <c r="B317" s="6"/>
      <c r="C317" s="6"/>
      <c r="E317" s="10"/>
      <c r="G317" s="6"/>
      <c r="H317" s="6"/>
    </row>
    <row r="318" ht="15.75" customHeight="1">
      <c r="B318" s="6"/>
      <c r="C318" s="6"/>
      <c r="E318" s="10"/>
      <c r="G318" s="6"/>
      <c r="H318" s="6"/>
    </row>
    <row r="319" ht="15.75" customHeight="1">
      <c r="B319" s="6"/>
      <c r="C319" s="6"/>
      <c r="E319" s="10"/>
      <c r="G319" s="6"/>
      <c r="H319" s="6"/>
    </row>
    <row r="320" ht="15.75" customHeight="1">
      <c r="B320" s="6"/>
      <c r="C320" s="6"/>
      <c r="E320" s="10"/>
      <c r="G320" s="6"/>
      <c r="H320" s="6"/>
    </row>
    <row r="321" ht="15.75" customHeight="1">
      <c r="B321" s="6"/>
      <c r="C321" s="6"/>
      <c r="E321" s="10"/>
      <c r="G321" s="6"/>
      <c r="H321" s="6"/>
    </row>
    <row r="322" ht="15.75" customHeight="1">
      <c r="B322" s="6"/>
      <c r="C322" s="6"/>
      <c r="E322" s="10"/>
      <c r="G322" s="6"/>
      <c r="H322" s="6"/>
    </row>
    <row r="323" ht="15.75" customHeight="1">
      <c r="B323" s="6"/>
      <c r="C323" s="6"/>
      <c r="E323" s="10"/>
      <c r="G323" s="6"/>
      <c r="H323" s="6"/>
    </row>
    <row r="324" ht="15.75" customHeight="1">
      <c r="B324" s="6"/>
      <c r="C324" s="6"/>
      <c r="E324" s="10"/>
      <c r="G324" s="6"/>
      <c r="H324" s="6"/>
    </row>
    <row r="325" ht="15.75" customHeight="1">
      <c r="B325" s="6"/>
      <c r="C325" s="6"/>
      <c r="E325" s="10"/>
      <c r="G325" s="6"/>
      <c r="H325" s="6"/>
    </row>
    <row r="326" ht="15.75" customHeight="1">
      <c r="B326" s="6"/>
      <c r="C326" s="6"/>
      <c r="E326" s="10"/>
      <c r="G326" s="6"/>
      <c r="H326" s="6"/>
    </row>
    <row r="327" ht="15.75" customHeight="1">
      <c r="B327" s="6"/>
      <c r="C327" s="6"/>
      <c r="E327" s="10"/>
      <c r="G327" s="6"/>
      <c r="H327" s="6"/>
    </row>
    <row r="328" ht="15.75" customHeight="1">
      <c r="B328" s="6"/>
      <c r="C328" s="6"/>
      <c r="E328" s="10"/>
      <c r="G328" s="6"/>
      <c r="H328" s="6"/>
    </row>
    <row r="329" ht="15.75" customHeight="1">
      <c r="B329" s="6"/>
      <c r="C329" s="6"/>
      <c r="E329" s="10"/>
      <c r="G329" s="6"/>
      <c r="H329" s="6"/>
    </row>
    <row r="330" ht="15.75" customHeight="1">
      <c r="B330" s="6"/>
      <c r="C330" s="6"/>
      <c r="E330" s="10"/>
      <c r="G330" s="6"/>
      <c r="H330" s="6"/>
    </row>
    <row r="331" ht="15.75" customHeight="1">
      <c r="B331" s="6"/>
      <c r="C331" s="6"/>
      <c r="E331" s="10"/>
      <c r="G331" s="6"/>
      <c r="H331" s="6"/>
    </row>
    <row r="332" ht="15.75" customHeight="1">
      <c r="B332" s="6"/>
      <c r="C332" s="6"/>
      <c r="E332" s="10"/>
      <c r="G332" s="6"/>
      <c r="H332" s="6"/>
    </row>
    <row r="333" ht="15.75" customHeight="1">
      <c r="B333" s="6"/>
      <c r="C333" s="6"/>
      <c r="E333" s="10"/>
      <c r="G333" s="6"/>
      <c r="H333" s="6"/>
    </row>
    <row r="334" ht="15.75" customHeight="1">
      <c r="B334" s="6"/>
      <c r="C334" s="6"/>
      <c r="E334" s="10"/>
      <c r="G334" s="6"/>
      <c r="H334" s="6"/>
    </row>
    <row r="335" ht="15.75" customHeight="1">
      <c r="B335" s="6"/>
      <c r="C335" s="6"/>
      <c r="E335" s="10"/>
      <c r="G335" s="6"/>
      <c r="H335" s="6"/>
    </row>
    <row r="336" ht="15.75" customHeight="1">
      <c r="B336" s="6"/>
      <c r="C336" s="6"/>
      <c r="E336" s="10"/>
      <c r="G336" s="6"/>
      <c r="H336" s="6"/>
    </row>
    <row r="337" ht="15.75" customHeight="1">
      <c r="B337" s="6"/>
      <c r="C337" s="6"/>
      <c r="E337" s="10"/>
      <c r="G337" s="6"/>
      <c r="H337" s="6"/>
    </row>
    <row r="338" ht="15.75" customHeight="1">
      <c r="B338" s="6"/>
      <c r="C338" s="6"/>
      <c r="E338" s="10"/>
      <c r="G338" s="6"/>
      <c r="H338" s="6"/>
    </row>
    <row r="339" ht="15.75" customHeight="1">
      <c r="B339" s="6"/>
      <c r="C339" s="6"/>
      <c r="E339" s="10"/>
      <c r="G339" s="6"/>
      <c r="H339" s="6"/>
    </row>
    <row r="340" ht="15.75" customHeight="1">
      <c r="B340" s="6"/>
      <c r="C340" s="6"/>
      <c r="E340" s="10"/>
      <c r="G340" s="6"/>
      <c r="H340" s="6"/>
    </row>
    <row r="341" ht="15.75" customHeight="1">
      <c r="B341" s="6"/>
      <c r="C341" s="6"/>
      <c r="E341" s="10"/>
      <c r="G341" s="6"/>
      <c r="H341" s="6"/>
    </row>
    <row r="342" ht="15.75" customHeight="1">
      <c r="B342" s="6"/>
      <c r="C342" s="6"/>
      <c r="E342" s="10"/>
      <c r="G342" s="6"/>
      <c r="H342" s="6"/>
    </row>
    <row r="343" ht="15.75" customHeight="1">
      <c r="B343" s="6"/>
      <c r="C343" s="6"/>
      <c r="E343" s="10"/>
      <c r="G343" s="6"/>
      <c r="H343" s="6"/>
    </row>
    <row r="344" ht="15.75" customHeight="1">
      <c r="B344" s="6"/>
      <c r="C344" s="6"/>
      <c r="E344" s="10"/>
      <c r="G344" s="6"/>
      <c r="H344" s="6"/>
    </row>
    <row r="345" ht="15.75" customHeight="1">
      <c r="B345" s="6"/>
      <c r="C345" s="6"/>
      <c r="E345" s="10"/>
      <c r="G345" s="6"/>
      <c r="H345" s="6"/>
    </row>
    <row r="346" ht="15.75" customHeight="1">
      <c r="B346" s="6"/>
      <c r="C346" s="6"/>
      <c r="E346" s="10"/>
      <c r="G346" s="6"/>
      <c r="H346" s="6"/>
    </row>
    <row r="347" ht="15.75" customHeight="1">
      <c r="B347" s="6"/>
      <c r="C347" s="6"/>
      <c r="E347" s="10"/>
      <c r="G347" s="6"/>
      <c r="H347" s="6"/>
    </row>
    <row r="348" ht="15.75" customHeight="1">
      <c r="B348" s="6"/>
      <c r="C348" s="6"/>
      <c r="E348" s="10"/>
      <c r="G348" s="6"/>
      <c r="H348" s="6"/>
    </row>
    <row r="349" ht="15.75" customHeight="1">
      <c r="B349" s="6"/>
      <c r="C349" s="6"/>
      <c r="E349" s="10"/>
      <c r="G349" s="6"/>
      <c r="H349" s="6"/>
    </row>
    <row r="350" ht="15.75" customHeight="1">
      <c r="B350" s="6"/>
      <c r="C350" s="6"/>
      <c r="E350" s="10"/>
      <c r="G350" s="6"/>
      <c r="H350" s="6"/>
    </row>
    <row r="351" ht="15.75" customHeight="1">
      <c r="B351" s="6"/>
      <c r="C351" s="6"/>
      <c r="E351" s="10"/>
      <c r="G351" s="6"/>
      <c r="H351" s="6"/>
    </row>
    <row r="352" ht="15.75" customHeight="1">
      <c r="B352" s="6"/>
      <c r="C352" s="6"/>
      <c r="E352" s="10"/>
      <c r="G352" s="6"/>
      <c r="H352" s="6"/>
    </row>
    <row r="353" ht="15.75" customHeight="1">
      <c r="B353" s="6"/>
      <c r="C353" s="6"/>
      <c r="E353" s="10"/>
      <c r="G353" s="6"/>
      <c r="H353" s="6"/>
    </row>
    <row r="354" ht="15.75" customHeight="1">
      <c r="B354" s="6"/>
      <c r="C354" s="6"/>
      <c r="E354" s="10"/>
      <c r="G354" s="6"/>
      <c r="H354" s="6"/>
    </row>
    <row r="355" ht="15.75" customHeight="1">
      <c r="B355" s="6"/>
      <c r="C355" s="6"/>
      <c r="E355" s="10"/>
      <c r="G355" s="6"/>
      <c r="H355" s="6"/>
    </row>
    <row r="356" ht="15.75" customHeight="1">
      <c r="B356" s="6"/>
      <c r="C356" s="6"/>
      <c r="E356" s="10"/>
      <c r="G356" s="6"/>
      <c r="H356" s="6"/>
    </row>
    <row r="357" ht="15.75" customHeight="1">
      <c r="B357" s="6"/>
      <c r="C357" s="6"/>
      <c r="E357" s="10"/>
      <c r="G357" s="6"/>
      <c r="H357" s="6"/>
    </row>
    <row r="358" ht="15.75" customHeight="1">
      <c r="B358" s="6"/>
      <c r="C358" s="6"/>
      <c r="E358" s="10"/>
      <c r="G358" s="6"/>
      <c r="H358" s="6"/>
    </row>
    <row r="359" ht="15.75" customHeight="1">
      <c r="B359" s="6"/>
      <c r="C359" s="6"/>
      <c r="E359" s="10"/>
      <c r="G359" s="6"/>
      <c r="H359" s="6"/>
    </row>
    <row r="360" ht="15.75" customHeight="1">
      <c r="B360" s="6"/>
      <c r="C360" s="6"/>
      <c r="E360" s="10"/>
      <c r="G360" s="6"/>
      <c r="H360" s="6"/>
    </row>
    <row r="361" ht="15.75" customHeight="1">
      <c r="B361" s="6"/>
      <c r="C361" s="6"/>
      <c r="E361" s="10"/>
      <c r="G361" s="6"/>
      <c r="H361" s="6"/>
    </row>
    <row r="362" ht="15.75" customHeight="1">
      <c r="B362" s="6"/>
      <c r="C362" s="6"/>
      <c r="E362" s="10"/>
      <c r="G362" s="6"/>
      <c r="H362" s="6"/>
    </row>
    <row r="363" ht="15.75" customHeight="1">
      <c r="B363" s="6"/>
      <c r="C363" s="6"/>
      <c r="E363" s="10"/>
      <c r="G363" s="6"/>
      <c r="H363" s="6"/>
    </row>
    <row r="364" ht="15.75" customHeight="1">
      <c r="B364" s="6"/>
      <c r="C364" s="6"/>
      <c r="E364" s="10"/>
      <c r="G364" s="6"/>
      <c r="H364" s="6"/>
    </row>
    <row r="365" ht="15.75" customHeight="1">
      <c r="B365" s="6"/>
      <c r="C365" s="6"/>
      <c r="E365" s="10"/>
      <c r="G365" s="6"/>
      <c r="H365" s="6"/>
    </row>
    <row r="366" ht="15.75" customHeight="1">
      <c r="B366" s="6"/>
      <c r="C366" s="6"/>
      <c r="E366" s="10"/>
      <c r="G366" s="6"/>
      <c r="H366" s="6"/>
    </row>
    <row r="367" ht="15.75" customHeight="1">
      <c r="B367" s="6"/>
      <c r="C367" s="6"/>
      <c r="E367" s="10"/>
      <c r="G367" s="6"/>
      <c r="H367" s="6"/>
    </row>
    <row r="368" ht="15.75" customHeight="1">
      <c r="B368" s="6"/>
      <c r="C368" s="6"/>
      <c r="E368" s="10"/>
      <c r="G368" s="6"/>
      <c r="H368" s="6"/>
    </row>
    <row r="369" ht="15.75" customHeight="1">
      <c r="B369" s="6"/>
      <c r="C369" s="6"/>
      <c r="E369" s="10"/>
      <c r="G369" s="6"/>
      <c r="H369" s="6"/>
    </row>
    <row r="370" ht="15.75" customHeight="1">
      <c r="B370" s="6"/>
      <c r="C370" s="6"/>
      <c r="E370" s="10"/>
      <c r="G370" s="6"/>
      <c r="H370" s="6"/>
    </row>
    <row r="371" ht="15.75" customHeight="1">
      <c r="B371" s="6"/>
      <c r="C371" s="6"/>
      <c r="E371" s="10"/>
      <c r="G371" s="6"/>
      <c r="H371" s="6"/>
    </row>
    <row r="372" ht="15.75" customHeight="1">
      <c r="B372" s="6"/>
      <c r="C372" s="6"/>
      <c r="E372" s="10"/>
      <c r="G372" s="6"/>
      <c r="H372" s="6"/>
    </row>
    <row r="373" ht="15.75" customHeight="1">
      <c r="B373" s="6"/>
      <c r="C373" s="6"/>
      <c r="E373" s="10"/>
      <c r="G373" s="6"/>
      <c r="H373" s="6"/>
    </row>
    <row r="374" ht="15.75" customHeight="1">
      <c r="B374" s="6"/>
      <c r="C374" s="6"/>
      <c r="E374" s="10"/>
      <c r="G374" s="6"/>
      <c r="H374" s="6"/>
    </row>
    <row r="375" ht="15.75" customHeight="1">
      <c r="B375" s="6"/>
      <c r="C375" s="6"/>
      <c r="E375" s="10"/>
      <c r="G375" s="6"/>
      <c r="H375" s="6"/>
    </row>
    <row r="376" ht="15.75" customHeight="1">
      <c r="B376" s="6"/>
      <c r="C376" s="6"/>
      <c r="E376" s="10"/>
      <c r="G376" s="6"/>
      <c r="H376" s="6"/>
    </row>
    <row r="377" ht="15.75" customHeight="1">
      <c r="B377" s="6"/>
      <c r="C377" s="6"/>
      <c r="E377" s="10"/>
      <c r="G377" s="6"/>
      <c r="H377" s="6"/>
    </row>
    <row r="378" ht="15.75" customHeight="1">
      <c r="B378" s="6"/>
      <c r="C378" s="6"/>
      <c r="E378" s="10"/>
      <c r="G378" s="6"/>
      <c r="H378" s="6"/>
    </row>
    <row r="379" ht="15.75" customHeight="1">
      <c r="B379" s="6"/>
      <c r="C379" s="6"/>
      <c r="E379" s="10"/>
      <c r="G379" s="6"/>
      <c r="H379" s="6"/>
    </row>
    <row r="380" ht="15.75" customHeight="1">
      <c r="B380" s="6"/>
      <c r="C380" s="6"/>
      <c r="E380" s="10"/>
      <c r="G380" s="6"/>
      <c r="H380" s="6"/>
    </row>
    <row r="381" ht="15.75" customHeight="1">
      <c r="B381" s="6"/>
      <c r="C381" s="6"/>
      <c r="E381" s="10"/>
      <c r="G381" s="6"/>
      <c r="H381" s="6"/>
    </row>
    <row r="382" ht="15.75" customHeight="1">
      <c r="B382" s="6"/>
      <c r="C382" s="6"/>
      <c r="E382" s="10"/>
      <c r="G382" s="6"/>
      <c r="H382" s="6"/>
    </row>
    <row r="383" ht="15.75" customHeight="1">
      <c r="B383" s="6"/>
      <c r="C383" s="6"/>
      <c r="E383" s="10"/>
      <c r="G383" s="6"/>
      <c r="H383" s="6"/>
    </row>
    <row r="384" ht="15.75" customHeight="1">
      <c r="B384" s="6"/>
      <c r="C384" s="6"/>
      <c r="E384" s="10"/>
      <c r="G384" s="6"/>
      <c r="H384" s="6"/>
    </row>
    <row r="385" ht="15.75" customHeight="1">
      <c r="B385" s="6"/>
      <c r="C385" s="6"/>
      <c r="E385" s="10"/>
      <c r="G385" s="6"/>
      <c r="H385" s="6"/>
    </row>
    <row r="386" ht="15.75" customHeight="1">
      <c r="B386" s="6"/>
      <c r="C386" s="6"/>
      <c r="E386" s="10"/>
      <c r="G386" s="6"/>
      <c r="H386" s="6"/>
    </row>
    <row r="387" ht="15.75" customHeight="1">
      <c r="B387" s="6"/>
      <c r="C387" s="6"/>
      <c r="E387" s="10"/>
      <c r="G387" s="6"/>
      <c r="H387" s="6"/>
    </row>
    <row r="388" ht="15.75" customHeight="1">
      <c r="B388" s="6"/>
      <c r="C388" s="6"/>
      <c r="E388" s="10"/>
      <c r="G388" s="6"/>
      <c r="H388" s="6"/>
    </row>
    <row r="389" ht="15.75" customHeight="1">
      <c r="B389" s="6"/>
      <c r="C389" s="6"/>
      <c r="E389" s="10"/>
      <c r="G389" s="6"/>
      <c r="H389" s="6"/>
    </row>
    <row r="390" ht="15.75" customHeight="1">
      <c r="B390" s="6"/>
      <c r="C390" s="6"/>
      <c r="E390" s="10"/>
      <c r="G390" s="6"/>
      <c r="H390" s="6"/>
    </row>
    <row r="391" ht="15.75" customHeight="1">
      <c r="B391" s="6"/>
      <c r="C391" s="6"/>
      <c r="E391" s="10"/>
      <c r="G391" s="6"/>
      <c r="H391" s="6"/>
    </row>
    <row r="392" ht="15.75" customHeight="1">
      <c r="B392" s="6"/>
      <c r="C392" s="6"/>
      <c r="E392" s="10"/>
      <c r="G392" s="6"/>
      <c r="H392" s="6"/>
    </row>
    <row r="393" ht="15.75" customHeight="1">
      <c r="B393" s="6"/>
      <c r="C393" s="6"/>
      <c r="E393" s="10"/>
      <c r="G393" s="6"/>
      <c r="H393" s="6"/>
    </row>
    <row r="394" ht="15.75" customHeight="1">
      <c r="B394" s="6"/>
      <c r="C394" s="6"/>
      <c r="E394" s="10"/>
      <c r="G394" s="6"/>
      <c r="H394" s="6"/>
    </row>
    <row r="395" ht="15.75" customHeight="1">
      <c r="B395" s="6"/>
      <c r="C395" s="6"/>
      <c r="E395" s="10"/>
      <c r="G395" s="6"/>
      <c r="H395" s="6"/>
    </row>
    <row r="396" ht="15.75" customHeight="1">
      <c r="B396" s="6"/>
      <c r="C396" s="6"/>
      <c r="E396" s="10"/>
      <c r="G396" s="6"/>
      <c r="H396" s="6"/>
    </row>
    <row r="397" ht="15.75" customHeight="1">
      <c r="B397" s="6"/>
      <c r="C397" s="6"/>
      <c r="E397" s="10"/>
      <c r="G397" s="6"/>
      <c r="H397" s="6"/>
    </row>
    <row r="398" ht="15.75" customHeight="1">
      <c r="B398" s="6"/>
      <c r="C398" s="6"/>
      <c r="E398" s="10"/>
      <c r="G398" s="6"/>
      <c r="H398" s="6"/>
    </row>
    <row r="399" ht="15.75" customHeight="1">
      <c r="B399" s="6"/>
      <c r="C399" s="6"/>
      <c r="E399" s="10"/>
      <c r="G399" s="6"/>
      <c r="H399" s="6"/>
    </row>
    <row r="400" ht="15.75" customHeight="1">
      <c r="B400" s="6"/>
      <c r="C400" s="6"/>
      <c r="E400" s="10"/>
      <c r="G400" s="6"/>
      <c r="H400" s="6"/>
    </row>
    <row r="401" ht="15.75" customHeight="1">
      <c r="B401" s="6"/>
      <c r="C401" s="6"/>
      <c r="E401" s="10"/>
      <c r="G401" s="6"/>
      <c r="H401" s="6"/>
    </row>
    <row r="402" ht="15.75" customHeight="1">
      <c r="B402" s="6"/>
      <c r="C402" s="6"/>
      <c r="E402" s="10"/>
      <c r="G402" s="6"/>
      <c r="H402" s="6"/>
    </row>
    <row r="403" ht="15.75" customHeight="1">
      <c r="B403" s="6"/>
      <c r="C403" s="6"/>
      <c r="E403" s="10"/>
      <c r="G403" s="6"/>
      <c r="H403" s="6"/>
    </row>
    <row r="404" ht="15.75" customHeight="1">
      <c r="B404" s="6"/>
      <c r="C404" s="6"/>
      <c r="E404" s="10"/>
      <c r="G404" s="6"/>
      <c r="H404" s="6"/>
    </row>
    <row r="405" ht="15.75" customHeight="1">
      <c r="B405" s="6"/>
      <c r="C405" s="6"/>
      <c r="E405" s="10"/>
      <c r="G405" s="6"/>
      <c r="H405" s="6"/>
    </row>
    <row r="406" ht="15.75" customHeight="1">
      <c r="B406" s="6"/>
      <c r="C406" s="6"/>
      <c r="E406" s="10"/>
      <c r="G406" s="6"/>
      <c r="H406" s="6"/>
    </row>
    <row r="407" ht="15.75" customHeight="1">
      <c r="B407" s="6"/>
      <c r="C407" s="6"/>
      <c r="E407" s="10"/>
      <c r="G407" s="6"/>
      <c r="H407" s="6"/>
    </row>
    <row r="408" ht="15.75" customHeight="1">
      <c r="B408" s="6"/>
      <c r="C408" s="6"/>
      <c r="E408" s="10"/>
      <c r="G408" s="6"/>
      <c r="H408" s="6"/>
    </row>
    <row r="409" ht="15.75" customHeight="1">
      <c r="B409" s="6"/>
      <c r="C409" s="6"/>
      <c r="E409" s="10"/>
      <c r="G409" s="6"/>
      <c r="H409" s="6"/>
    </row>
    <row r="410" ht="15.75" customHeight="1">
      <c r="B410" s="6"/>
      <c r="C410" s="6"/>
      <c r="E410" s="10"/>
      <c r="G410" s="6"/>
      <c r="H410" s="6"/>
    </row>
    <row r="411" ht="15.75" customHeight="1">
      <c r="B411" s="6"/>
      <c r="C411" s="6"/>
      <c r="E411" s="10"/>
      <c r="G411" s="6"/>
      <c r="H411" s="6"/>
    </row>
    <row r="412" ht="15.75" customHeight="1">
      <c r="B412" s="6"/>
      <c r="C412" s="6"/>
      <c r="E412" s="10"/>
      <c r="G412" s="6"/>
      <c r="H412" s="6"/>
    </row>
    <row r="413" ht="15.75" customHeight="1">
      <c r="B413" s="6"/>
      <c r="C413" s="6"/>
      <c r="E413" s="10"/>
      <c r="G413" s="6"/>
      <c r="H413" s="6"/>
    </row>
    <row r="414" ht="15.75" customHeight="1">
      <c r="B414" s="6"/>
      <c r="C414" s="6"/>
      <c r="E414" s="10"/>
      <c r="G414" s="6"/>
      <c r="H414" s="6"/>
    </row>
    <row r="415" ht="15.75" customHeight="1">
      <c r="B415" s="6"/>
      <c r="C415" s="6"/>
      <c r="E415" s="10"/>
      <c r="G415" s="6"/>
      <c r="H415" s="6"/>
    </row>
    <row r="416" ht="15.75" customHeight="1">
      <c r="B416" s="6"/>
      <c r="C416" s="6"/>
      <c r="E416" s="10"/>
      <c r="G416" s="6"/>
      <c r="H416" s="6"/>
    </row>
    <row r="417" ht="15.75" customHeight="1">
      <c r="B417" s="6"/>
      <c r="C417" s="6"/>
      <c r="E417" s="10"/>
      <c r="G417" s="6"/>
      <c r="H417" s="6"/>
    </row>
    <row r="418" ht="15.75" customHeight="1">
      <c r="B418" s="6"/>
      <c r="C418" s="6"/>
      <c r="E418" s="10"/>
      <c r="G418" s="6"/>
      <c r="H418" s="6"/>
    </row>
    <row r="419" ht="15.75" customHeight="1">
      <c r="B419" s="6"/>
      <c r="C419" s="6"/>
      <c r="E419" s="10"/>
      <c r="G419" s="6"/>
      <c r="H419" s="6"/>
    </row>
    <row r="420" ht="15.75" customHeight="1">
      <c r="B420" s="6"/>
      <c r="C420" s="6"/>
      <c r="E420" s="10"/>
      <c r="G420" s="6"/>
      <c r="H420" s="6"/>
    </row>
    <row r="421" ht="15.75" customHeight="1">
      <c r="B421" s="6"/>
      <c r="C421" s="6"/>
      <c r="E421" s="10"/>
      <c r="G421" s="6"/>
      <c r="H421" s="6"/>
    </row>
    <row r="422" ht="15.75" customHeight="1">
      <c r="B422" s="6"/>
      <c r="C422" s="6"/>
      <c r="E422" s="10"/>
      <c r="G422" s="6"/>
      <c r="H422" s="6"/>
    </row>
    <row r="423" ht="15.75" customHeight="1">
      <c r="B423" s="6"/>
      <c r="C423" s="6"/>
      <c r="E423" s="10"/>
      <c r="G423" s="6"/>
      <c r="H423" s="6"/>
    </row>
    <row r="424" ht="15.75" customHeight="1">
      <c r="B424" s="6"/>
      <c r="C424" s="6"/>
      <c r="E424" s="10"/>
      <c r="G424" s="6"/>
      <c r="H424" s="6"/>
    </row>
    <row r="425" ht="15.75" customHeight="1">
      <c r="B425" s="6"/>
      <c r="C425" s="6"/>
      <c r="E425" s="10"/>
      <c r="G425" s="6"/>
      <c r="H425" s="6"/>
    </row>
    <row r="426" ht="15.75" customHeight="1">
      <c r="B426" s="6"/>
      <c r="C426" s="6"/>
      <c r="E426" s="10"/>
      <c r="G426" s="6"/>
      <c r="H426" s="6"/>
    </row>
    <row r="427" ht="15.75" customHeight="1">
      <c r="B427" s="6"/>
      <c r="C427" s="6"/>
      <c r="E427" s="10"/>
      <c r="G427" s="6"/>
      <c r="H427" s="6"/>
    </row>
    <row r="428" ht="15.75" customHeight="1">
      <c r="B428" s="6"/>
      <c r="C428" s="6"/>
      <c r="E428" s="10"/>
      <c r="G428" s="6"/>
      <c r="H428" s="6"/>
    </row>
    <row r="429" ht="15.75" customHeight="1">
      <c r="B429" s="6"/>
      <c r="C429" s="6"/>
      <c r="E429" s="10"/>
      <c r="G429" s="6"/>
      <c r="H429" s="6"/>
    </row>
    <row r="430" ht="15.75" customHeight="1">
      <c r="B430" s="6"/>
      <c r="C430" s="6"/>
      <c r="E430" s="10"/>
      <c r="G430" s="6"/>
      <c r="H430" s="6"/>
    </row>
    <row r="431" ht="15.75" customHeight="1">
      <c r="B431" s="6"/>
      <c r="C431" s="6"/>
      <c r="E431" s="10"/>
      <c r="G431" s="6"/>
      <c r="H431" s="6"/>
    </row>
    <row r="432" ht="15.75" customHeight="1">
      <c r="B432" s="6"/>
      <c r="C432" s="6"/>
      <c r="E432" s="10"/>
      <c r="G432" s="6"/>
      <c r="H432" s="6"/>
    </row>
    <row r="433" ht="15.75" customHeight="1">
      <c r="B433" s="6"/>
      <c r="C433" s="6"/>
      <c r="E433" s="10"/>
      <c r="G433" s="6"/>
      <c r="H433" s="6"/>
    </row>
    <row r="434" ht="15.75" customHeight="1">
      <c r="B434" s="6"/>
      <c r="C434" s="6"/>
      <c r="E434" s="10"/>
      <c r="G434" s="6"/>
      <c r="H434" s="6"/>
    </row>
    <row r="435" ht="15.75" customHeight="1">
      <c r="B435" s="6"/>
      <c r="C435" s="6"/>
      <c r="E435" s="10"/>
      <c r="G435" s="6"/>
      <c r="H435" s="6"/>
    </row>
    <row r="436" ht="15.75" customHeight="1">
      <c r="B436" s="6"/>
      <c r="C436" s="6"/>
      <c r="E436" s="10"/>
      <c r="G436" s="6"/>
      <c r="H436" s="6"/>
    </row>
    <row r="437" ht="15.75" customHeight="1">
      <c r="B437" s="6"/>
      <c r="C437" s="6"/>
      <c r="E437" s="10"/>
      <c r="G437" s="6"/>
      <c r="H437" s="6"/>
    </row>
    <row r="438" ht="15.75" customHeight="1">
      <c r="B438" s="6"/>
      <c r="C438" s="6"/>
      <c r="E438" s="10"/>
      <c r="G438" s="6"/>
      <c r="H438" s="6"/>
    </row>
    <row r="439" ht="15.75" customHeight="1">
      <c r="B439" s="6"/>
      <c r="C439" s="6"/>
      <c r="E439" s="10"/>
      <c r="G439" s="6"/>
      <c r="H439" s="6"/>
    </row>
    <row r="440" ht="15.75" customHeight="1">
      <c r="B440" s="6"/>
      <c r="C440" s="6"/>
      <c r="E440" s="10"/>
      <c r="G440" s="6"/>
      <c r="H440" s="6"/>
    </row>
    <row r="441" ht="15.75" customHeight="1">
      <c r="B441" s="6"/>
      <c r="C441" s="6"/>
      <c r="E441" s="10"/>
      <c r="G441" s="6"/>
      <c r="H441" s="6"/>
    </row>
    <row r="442" ht="15.75" customHeight="1">
      <c r="B442" s="6"/>
      <c r="C442" s="6"/>
      <c r="E442" s="10"/>
      <c r="G442" s="6"/>
      <c r="H442" s="6"/>
    </row>
    <row r="443" ht="15.75" customHeight="1">
      <c r="B443" s="6"/>
      <c r="C443" s="6"/>
      <c r="E443" s="10"/>
      <c r="G443" s="6"/>
      <c r="H443" s="6"/>
    </row>
    <row r="444" ht="15.75" customHeight="1">
      <c r="B444" s="6"/>
      <c r="C444" s="6"/>
      <c r="E444" s="10"/>
      <c r="G444" s="6"/>
      <c r="H444" s="6"/>
    </row>
    <row r="445" ht="15.75" customHeight="1">
      <c r="B445" s="6"/>
      <c r="C445" s="6"/>
      <c r="E445" s="10"/>
      <c r="G445" s="6"/>
      <c r="H445" s="6"/>
    </row>
    <row r="446" ht="15.75" customHeight="1">
      <c r="B446" s="6"/>
      <c r="C446" s="6"/>
      <c r="E446" s="10"/>
      <c r="G446" s="6"/>
      <c r="H446" s="6"/>
    </row>
    <row r="447" ht="15.75" customHeight="1">
      <c r="B447" s="6"/>
      <c r="C447" s="6"/>
      <c r="E447" s="10"/>
      <c r="G447" s="6"/>
      <c r="H447" s="6"/>
    </row>
    <row r="448" ht="15.75" customHeight="1">
      <c r="B448" s="6"/>
      <c r="C448" s="6"/>
      <c r="E448" s="10"/>
      <c r="G448" s="6"/>
      <c r="H448" s="6"/>
    </row>
    <row r="449" ht="15.75" customHeight="1">
      <c r="B449" s="6"/>
      <c r="C449" s="6"/>
      <c r="E449" s="10"/>
      <c r="G449" s="6"/>
      <c r="H449" s="6"/>
    </row>
    <row r="450" ht="15.75" customHeight="1">
      <c r="B450" s="6"/>
      <c r="C450" s="6"/>
      <c r="E450" s="10"/>
      <c r="G450" s="6"/>
      <c r="H450" s="6"/>
    </row>
    <row r="451" ht="15.75" customHeight="1">
      <c r="B451" s="6"/>
      <c r="C451" s="6"/>
      <c r="E451" s="10"/>
      <c r="G451" s="6"/>
      <c r="H451" s="6"/>
    </row>
    <row r="452" ht="15.75" customHeight="1">
      <c r="B452" s="6"/>
      <c r="C452" s="6"/>
      <c r="E452" s="10"/>
      <c r="G452" s="6"/>
      <c r="H452" s="6"/>
    </row>
    <row r="453" ht="15.75" customHeight="1">
      <c r="B453" s="6"/>
      <c r="C453" s="6"/>
      <c r="E453" s="10"/>
      <c r="G453" s="6"/>
      <c r="H453" s="6"/>
    </row>
    <row r="454" ht="15.75" customHeight="1">
      <c r="B454" s="6"/>
      <c r="C454" s="6"/>
      <c r="E454" s="10"/>
      <c r="G454" s="6"/>
      <c r="H454" s="6"/>
    </row>
    <row r="455" ht="15.75" customHeight="1">
      <c r="B455" s="6"/>
      <c r="C455" s="6"/>
      <c r="E455" s="10"/>
      <c r="G455" s="6"/>
      <c r="H455" s="6"/>
    </row>
    <row r="456" ht="15.75" customHeight="1">
      <c r="B456" s="6"/>
      <c r="C456" s="6"/>
      <c r="E456" s="10"/>
      <c r="G456" s="6"/>
      <c r="H456" s="6"/>
    </row>
    <row r="457" ht="15.75" customHeight="1">
      <c r="B457" s="6"/>
      <c r="C457" s="6"/>
      <c r="E457" s="10"/>
      <c r="G457" s="6"/>
      <c r="H457" s="6"/>
    </row>
    <row r="458" ht="15.75" customHeight="1">
      <c r="B458" s="6"/>
      <c r="C458" s="6"/>
      <c r="E458" s="10"/>
      <c r="G458" s="6"/>
      <c r="H458" s="6"/>
    </row>
    <row r="459" ht="15.75" customHeight="1">
      <c r="B459" s="6"/>
      <c r="C459" s="6"/>
      <c r="E459" s="10"/>
      <c r="G459" s="6"/>
      <c r="H459" s="6"/>
    </row>
    <row r="460" ht="15.75" customHeight="1">
      <c r="B460" s="6"/>
      <c r="C460" s="6"/>
      <c r="E460" s="10"/>
      <c r="G460" s="6"/>
      <c r="H460" s="6"/>
    </row>
    <row r="461" ht="15.75" customHeight="1">
      <c r="B461" s="6"/>
      <c r="C461" s="6"/>
      <c r="E461" s="10"/>
      <c r="G461" s="6"/>
      <c r="H461" s="6"/>
    </row>
    <row r="462" ht="15.75" customHeight="1">
      <c r="B462" s="6"/>
      <c r="C462" s="6"/>
      <c r="E462" s="10"/>
      <c r="G462" s="6"/>
      <c r="H462" s="6"/>
    </row>
    <row r="463" ht="15.75" customHeight="1">
      <c r="B463" s="6"/>
      <c r="C463" s="6"/>
      <c r="E463" s="10"/>
      <c r="G463" s="6"/>
      <c r="H463" s="6"/>
    </row>
    <row r="464" ht="15.75" customHeight="1">
      <c r="B464" s="6"/>
      <c r="C464" s="6"/>
      <c r="E464" s="10"/>
      <c r="G464" s="6"/>
      <c r="H464" s="6"/>
    </row>
    <row r="465" ht="15.75" customHeight="1">
      <c r="B465" s="6"/>
      <c r="C465" s="6"/>
      <c r="E465" s="10"/>
      <c r="G465" s="6"/>
      <c r="H465" s="6"/>
    </row>
    <row r="466" ht="15.75" customHeight="1">
      <c r="B466" s="6"/>
      <c r="C466" s="6"/>
      <c r="E466" s="10"/>
      <c r="G466" s="6"/>
      <c r="H466" s="6"/>
    </row>
    <row r="467" ht="15.75" customHeight="1">
      <c r="B467" s="6"/>
      <c r="C467" s="6"/>
      <c r="E467" s="10"/>
      <c r="G467" s="6"/>
      <c r="H467" s="6"/>
    </row>
    <row r="468" ht="15.75" customHeight="1">
      <c r="B468" s="6"/>
      <c r="C468" s="6"/>
      <c r="E468" s="10"/>
      <c r="G468" s="6"/>
      <c r="H468" s="6"/>
    </row>
    <row r="469" ht="15.75" customHeight="1">
      <c r="B469" s="6"/>
      <c r="C469" s="6"/>
      <c r="E469" s="10"/>
      <c r="G469" s="6"/>
      <c r="H469" s="6"/>
    </row>
    <row r="470" ht="15.75" customHeight="1">
      <c r="B470" s="6"/>
      <c r="C470" s="6"/>
      <c r="E470" s="10"/>
      <c r="G470" s="6"/>
      <c r="H470" s="6"/>
    </row>
    <row r="471" ht="15.75" customHeight="1">
      <c r="B471" s="6"/>
      <c r="C471" s="6"/>
      <c r="E471" s="10"/>
      <c r="G471" s="6"/>
      <c r="H471" s="6"/>
    </row>
    <row r="472" ht="15.75" customHeight="1">
      <c r="B472" s="6"/>
      <c r="C472" s="6"/>
      <c r="E472" s="10"/>
      <c r="G472" s="6"/>
      <c r="H472" s="6"/>
    </row>
    <row r="473" ht="15.75" customHeight="1">
      <c r="B473" s="6"/>
      <c r="C473" s="6"/>
      <c r="E473" s="10"/>
      <c r="G473" s="6"/>
      <c r="H473" s="6"/>
    </row>
    <row r="474" ht="15.75" customHeight="1">
      <c r="B474" s="6"/>
      <c r="C474" s="6"/>
      <c r="E474" s="10"/>
      <c r="G474" s="6"/>
      <c r="H474" s="6"/>
    </row>
    <row r="475" ht="15.75" customHeight="1">
      <c r="B475" s="6"/>
      <c r="C475" s="6"/>
      <c r="E475" s="10"/>
      <c r="G475" s="6"/>
      <c r="H475" s="6"/>
    </row>
    <row r="476" ht="15.75" customHeight="1">
      <c r="B476" s="6"/>
      <c r="C476" s="6"/>
      <c r="E476" s="10"/>
      <c r="G476" s="6"/>
      <c r="H476" s="6"/>
    </row>
    <row r="477" ht="15.75" customHeight="1">
      <c r="B477" s="6"/>
      <c r="C477" s="6"/>
      <c r="E477" s="10"/>
      <c r="G477" s="6"/>
      <c r="H477" s="6"/>
    </row>
    <row r="478" ht="15.75" customHeight="1">
      <c r="B478" s="6"/>
      <c r="C478" s="6"/>
      <c r="E478" s="10"/>
      <c r="G478" s="6"/>
      <c r="H478" s="6"/>
    </row>
    <row r="479" ht="15.75" customHeight="1">
      <c r="B479" s="6"/>
      <c r="C479" s="6"/>
      <c r="E479" s="10"/>
      <c r="G479" s="6"/>
      <c r="H479" s="6"/>
    </row>
    <row r="480" ht="15.75" customHeight="1">
      <c r="B480" s="6"/>
      <c r="C480" s="6"/>
      <c r="E480" s="10"/>
      <c r="G480" s="6"/>
      <c r="H480" s="6"/>
    </row>
    <row r="481" ht="15.75" customHeight="1">
      <c r="B481" s="6"/>
      <c r="C481" s="6"/>
      <c r="E481" s="10"/>
      <c r="G481" s="6"/>
      <c r="H481" s="6"/>
    </row>
    <row r="482" ht="15.75" customHeight="1">
      <c r="B482" s="6"/>
      <c r="C482" s="6"/>
      <c r="E482" s="10"/>
      <c r="G482" s="6"/>
      <c r="H482" s="6"/>
    </row>
    <row r="483" ht="15.75" customHeight="1">
      <c r="B483" s="6"/>
      <c r="C483" s="6"/>
      <c r="E483" s="10"/>
      <c r="G483" s="6"/>
      <c r="H483" s="6"/>
    </row>
    <row r="484" ht="15.75" customHeight="1">
      <c r="B484" s="6"/>
      <c r="C484" s="6"/>
      <c r="E484" s="10"/>
      <c r="G484" s="6"/>
      <c r="H484" s="6"/>
    </row>
    <row r="485" ht="15.75" customHeight="1">
      <c r="B485" s="6"/>
      <c r="C485" s="6"/>
      <c r="E485" s="10"/>
      <c r="G485" s="6"/>
      <c r="H485" s="6"/>
    </row>
    <row r="486" ht="15.75" customHeight="1">
      <c r="B486" s="6"/>
      <c r="C486" s="6"/>
      <c r="E486" s="10"/>
      <c r="G486" s="6"/>
      <c r="H486" s="6"/>
    </row>
    <row r="487" ht="15.75" customHeight="1">
      <c r="B487" s="6"/>
      <c r="C487" s="6"/>
      <c r="E487" s="10"/>
      <c r="G487" s="6"/>
      <c r="H487" s="6"/>
    </row>
    <row r="488" ht="15.75" customHeight="1">
      <c r="B488" s="6"/>
      <c r="C488" s="6"/>
      <c r="E488" s="10"/>
      <c r="G488" s="6"/>
      <c r="H488" s="6"/>
    </row>
    <row r="489" ht="15.75" customHeight="1">
      <c r="B489" s="6"/>
      <c r="C489" s="6"/>
      <c r="E489" s="10"/>
      <c r="G489" s="6"/>
      <c r="H489" s="6"/>
    </row>
    <row r="490" ht="15.75" customHeight="1">
      <c r="B490" s="6"/>
      <c r="C490" s="6"/>
      <c r="E490" s="10"/>
      <c r="G490" s="6"/>
      <c r="H490" s="6"/>
    </row>
    <row r="491" ht="15.75" customHeight="1">
      <c r="B491" s="6"/>
      <c r="C491" s="6"/>
      <c r="E491" s="10"/>
      <c r="G491" s="6"/>
      <c r="H491" s="6"/>
    </row>
    <row r="492" ht="15.75" customHeight="1">
      <c r="B492" s="6"/>
      <c r="C492" s="6"/>
      <c r="E492" s="10"/>
      <c r="G492" s="6"/>
      <c r="H492" s="6"/>
    </row>
    <row r="493" ht="15.75" customHeight="1">
      <c r="B493" s="6"/>
      <c r="C493" s="6"/>
      <c r="E493" s="10"/>
      <c r="G493" s="6"/>
      <c r="H493" s="6"/>
    </row>
    <row r="494" ht="15.75" customHeight="1">
      <c r="B494" s="6"/>
      <c r="C494" s="6"/>
      <c r="E494" s="10"/>
      <c r="G494" s="6"/>
      <c r="H494" s="6"/>
    </row>
    <row r="495" ht="15.75" customHeight="1">
      <c r="B495" s="6"/>
      <c r="C495" s="6"/>
      <c r="E495" s="10"/>
      <c r="G495" s="6"/>
      <c r="H495" s="6"/>
    </row>
    <row r="496" ht="15.75" customHeight="1">
      <c r="B496" s="6"/>
      <c r="C496" s="6"/>
      <c r="E496" s="10"/>
      <c r="G496" s="6"/>
      <c r="H496" s="6"/>
    </row>
    <row r="497" ht="15.75" customHeight="1">
      <c r="B497" s="6"/>
      <c r="C497" s="6"/>
      <c r="E497" s="10"/>
      <c r="G497" s="6"/>
      <c r="H497" s="6"/>
    </row>
    <row r="498" ht="15.75" customHeight="1">
      <c r="B498" s="6"/>
      <c r="C498" s="6"/>
      <c r="E498" s="10"/>
      <c r="G498" s="6"/>
      <c r="H498" s="6"/>
    </row>
    <row r="499" ht="15.75" customHeight="1">
      <c r="B499" s="6"/>
      <c r="C499" s="6"/>
      <c r="E499" s="10"/>
      <c r="G499" s="6"/>
      <c r="H499" s="6"/>
    </row>
    <row r="500" ht="15.75" customHeight="1">
      <c r="B500" s="6"/>
      <c r="C500" s="6"/>
      <c r="E500" s="10"/>
      <c r="G500" s="6"/>
      <c r="H500" s="6"/>
    </row>
    <row r="501" ht="15.75" customHeight="1">
      <c r="B501" s="6"/>
      <c r="C501" s="6"/>
      <c r="E501" s="10"/>
      <c r="G501" s="6"/>
      <c r="H501" s="6"/>
    </row>
    <row r="502" ht="15.75" customHeight="1">
      <c r="B502" s="6"/>
      <c r="C502" s="6"/>
      <c r="E502" s="10"/>
      <c r="G502" s="6"/>
      <c r="H502" s="6"/>
    </row>
    <row r="503" ht="15.75" customHeight="1">
      <c r="B503" s="6"/>
      <c r="C503" s="6"/>
      <c r="E503" s="10"/>
      <c r="G503" s="6"/>
      <c r="H503" s="6"/>
    </row>
    <row r="504" ht="15.75" customHeight="1">
      <c r="B504" s="6"/>
      <c r="C504" s="6"/>
      <c r="E504" s="10"/>
      <c r="G504" s="6"/>
      <c r="H504" s="6"/>
    </row>
    <row r="505" ht="15.75" customHeight="1">
      <c r="B505" s="6"/>
      <c r="C505" s="6"/>
      <c r="E505" s="10"/>
      <c r="G505" s="6"/>
      <c r="H505" s="6"/>
    </row>
    <row r="506" ht="15.75" customHeight="1">
      <c r="B506" s="6"/>
      <c r="C506" s="6"/>
      <c r="E506" s="10"/>
      <c r="G506" s="6"/>
      <c r="H506" s="6"/>
    </row>
    <row r="507" ht="15.75" customHeight="1">
      <c r="B507" s="6"/>
      <c r="C507" s="6"/>
      <c r="E507" s="10"/>
      <c r="G507" s="6"/>
      <c r="H507" s="6"/>
    </row>
    <row r="508" ht="15.75" customHeight="1">
      <c r="B508" s="6"/>
      <c r="C508" s="6"/>
      <c r="E508" s="10"/>
      <c r="G508" s="6"/>
      <c r="H508" s="6"/>
    </row>
    <row r="509" ht="15.75" customHeight="1">
      <c r="B509" s="6"/>
      <c r="C509" s="6"/>
      <c r="E509" s="10"/>
      <c r="G509" s="6"/>
      <c r="H509" s="6"/>
    </row>
    <row r="510" ht="15.75" customHeight="1">
      <c r="B510" s="6"/>
      <c r="C510" s="6"/>
      <c r="E510" s="10"/>
      <c r="G510" s="6"/>
      <c r="H510" s="6"/>
    </row>
    <row r="511" ht="15.75" customHeight="1">
      <c r="B511" s="6"/>
      <c r="C511" s="6"/>
      <c r="E511" s="10"/>
      <c r="G511" s="6"/>
      <c r="H511" s="6"/>
    </row>
    <row r="512" ht="15.75" customHeight="1">
      <c r="B512" s="6"/>
      <c r="C512" s="6"/>
      <c r="E512" s="10"/>
      <c r="G512" s="6"/>
      <c r="H512" s="6"/>
    </row>
    <row r="513" ht="15.75" customHeight="1">
      <c r="B513" s="6"/>
      <c r="C513" s="6"/>
      <c r="E513" s="10"/>
      <c r="G513" s="6"/>
      <c r="H513" s="6"/>
    </row>
    <row r="514" ht="15.75" customHeight="1">
      <c r="B514" s="6"/>
      <c r="C514" s="6"/>
      <c r="E514" s="10"/>
      <c r="G514" s="6"/>
      <c r="H514" s="6"/>
    </row>
    <row r="515" ht="15.75" customHeight="1">
      <c r="B515" s="6"/>
      <c r="C515" s="6"/>
      <c r="E515" s="10"/>
      <c r="G515" s="6"/>
      <c r="H515" s="6"/>
    </row>
    <row r="516" ht="15.75" customHeight="1">
      <c r="B516" s="6"/>
      <c r="C516" s="6"/>
      <c r="E516" s="10"/>
      <c r="G516" s="6"/>
      <c r="H516" s="6"/>
    </row>
    <row r="517" ht="15.75" customHeight="1">
      <c r="B517" s="6"/>
      <c r="C517" s="6"/>
      <c r="E517" s="10"/>
      <c r="G517" s="6"/>
      <c r="H517" s="6"/>
    </row>
    <row r="518" ht="15.75" customHeight="1">
      <c r="B518" s="6"/>
      <c r="C518" s="6"/>
      <c r="E518" s="10"/>
      <c r="G518" s="6"/>
      <c r="H518" s="6"/>
    </row>
    <row r="519" ht="15.75" customHeight="1">
      <c r="B519" s="6"/>
      <c r="C519" s="6"/>
      <c r="E519" s="10"/>
      <c r="G519" s="6"/>
      <c r="H519" s="6"/>
    </row>
    <row r="520" ht="15.75" customHeight="1">
      <c r="B520" s="6"/>
      <c r="C520" s="6"/>
      <c r="E520" s="10"/>
      <c r="G520" s="6"/>
      <c r="H520" s="6"/>
    </row>
    <row r="521" ht="15.75" customHeight="1">
      <c r="B521" s="6"/>
      <c r="C521" s="6"/>
      <c r="E521" s="10"/>
      <c r="G521" s="6"/>
      <c r="H521" s="6"/>
    </row>
    <row r="522" ht="15.75" customHeight="1">
      <c r="B522" s="6"/>
      <c r="C522" s="6"/>
      <c r="E522" s="10"/>
      <c r="G522" s="6"/>
      <c r="H522" s="6"/>
    </row>
    <row r="523" ht="15.75" customHeight="1">
      <c r="B523" s="6"/>
      <c r="C523" s="6"/>
      <c r="E523" s="10"/>
      <c r="G523" s="6"/>
      <c r="H523" s="6"/>
    </row>
    <row r="524" ht="15.75" customHeight="1">
      <c r="B524" s="6"/>
      <c r="C524" s="6"/>
      <c r="E524" s="10"/>
      <c r="G524" s="6"/>
      <c r="H524" s="6"/>
    </row>
    <row r="525" ht="15.75" customHeight="1">
      <c r="B525" s="6"/>
      <c r="C525" s="6"/>
      <c r="E525" s="10"/>
      <c r="G525" s="6"/>
      <c r="H525" s="6"/>
    </row>
    <row r="526" ht="15.75" customHeight="1">
      <c r="B526" s="6"/>
      <c r="C526" s="6"/>
      <c r="E526" s="10"/>
      <c r="G526" s="6"/>
      <c r="H526" s="6"/>
    </row>
    <row r="527" ht="15.75" customHeight="1">
      <c r="B527" s="6"/>
      <c r="C527" s="6"/>
      <c r="E527" s="10"/>
      <c r="G527" s="6"/>
      <c r="H527" s="6"/>
    </row>
    <row r="528" ht="15.75" customHeight="1">
      <c r="B528" s="6"/>
      <c r="C528" s="6"/>
      <c r="E528" s="10"/>
      <c r="G528" s="6"/>
      <c r="H528" s="6"/>
    </row>
    <row r="529" ht="15.75" customHeight="1">
      <c r="B529" s="6"/>
      <c r="C529" s="6"/>
      <c r="E529" s="10"/>
      <c r="G529" s="6"/>
      <c r="H529" s="6"/>
    </row>
    <row r="530" ht="15.75" customHeight="1">
      <c r="B530" s="6"/>
      <c r="C530" s="6"/>
      <c r="E530" s="10"/>
      <c r="G530" s="6"/>
      <c r="H530" s="6"/>
    </row>
    <row r="531" ht="15.75" customHeight="1">
      <c r="B531" s="6"/>
      <c r="C531" s="6"/>
      <c r="E531" s="10"/>
      <c r="G531" s="6"/>
      <c r="H531" s="6"/>
    </row>
    <row r="532" ht="15.75" customHeight="1">
      <c r="B532" s="6"/>
      <c r="C532" s="6"/>
      <c r="E532" s="10"/>
      <c r="G532" s="6"/>
      <c r="H532" s="6"/>
    </row>
    <row r="533" ht="15.75" customHeight="1">
      <c r="B533" s="6"/>
      <c r="C533" s="6"/>
      <c r="E533" s="10"/>
      <c r="G533" s="6"/>
      <c r="H533" s="6"/>
    </row>
    <row r="534" ht="15.75" customHeight="1">
      <c r="B534" s="6"/>
      <c r="C534" s="6"/>
      <c r="E534" s="10"/>
      <c r="G534" s="6"/>
      <c r="H534" s="6"/>
    </row>
    <row r="535" ht="15.75" customHeight="1">
      <c r="B535" s="6"/>
      <c r="C535" s="6"/>
      <c r="E535" s="10"/>
      <c r="G535" s="6"/>
      <c r="H535" s="6"/>
    </row>
    <row r="536" ht="15.75" customHeight="1">
      <c r="B536" s="6"/>
      <c r="C536" s="6"/>
      <c r="E536" s="10"/>
      <c r="G536" s="6"/>
      <c r="H536" s="6"/>
    </row>
    <row r="537" ht="15.75" customHeight="1">
      <c r="B537" s="6"/>
      <c r="C537" s="6"/>
      <c r="E537" s="10"/>
      <c r="G537" s="6"/>
      <c r="H537" s="6"/>
    </row>
    <row r="538" ht="15.75" customHeight="1">
      <c r="B538" s="6"/>
      <c r="C538" s="6"/>
      <c r="E538" s="10"/>
      <c r="G538" s="6"/>
      <c r="H538" s="6"/>
    </row>
    <row r="539" ht="15.75" customHeight="1">
      <c r="B539" s="6"/>
      <c r="C539" s="6"/>
      <c r="E539" s="10"/>
      <c r="G539" s="6"/>
      <c r="H539" s="6"/>
    </row>
    <row r="540" ht="15.75" customHeight="1">
      <c r="B540" s="6"/>
      <c r="C540" s="6"/>
      <c r="E540" s="10"/>
      <c r="G540" s="6"/>
      <c r="H540" s="6"/>
    </row>
    <row r="541" ht="15.75" customHeight="1">
      <c r="B541" s="6"/>
      <c r="C541" s="6"/>
      <c r="E541" s="10"/>
      <c r="G541" s="6"/>
      <c r="H541" s="6"/>
    </row>
    <row r="542" ht="15.75" customHeight="1">
      <c r="B542" s="6"/>
      <c r="C542" s="6"/>
      <c r="E542" s="10"/>
      <c r="G542" s="6"/>
      <c r="H542" s="6"/>
    </row>
    <row r="543" ht="15.75" customHeight="1">
      <c r="B543" s="6"/>
      <c r="C543" s="6"/>
      <c r="E543" s="10"/>
      <c r="G543" s="6"/>
      <c r="H543" s="6"/>
    </row>
    <row r="544" ht="15.75" customHeight="1">
      <c r="B544" s="6"/>
      <c r="C544" s="6"/>
      <c r="E544" s="10"/>
      <c r="G544" s="6"/>
      <c r="H544" s="6"/>
    </row>
    <row r="545" ht="15.75" customHeight="1">
      <c r="B545" s="6"/>
      <c r="C545" s="6"/>
      <c r="E545" s="10"/>
      <c r="G545" s="6"/>
      <c r="H545" s="6"/>
    </row>
    <row r="546" ht="15.75" customHeight="1">
      <c r="B546" s="6"/>
      <c r="C546" s="6"/>
      <c r="E546" s="10"/>
      <c r="G546" s="6"/>
      <c r="H546" s="6"/>
    </row>
    <row r="547" ht="15.75" customHeight="1">
      <c r="B547" s="6"/>
      <c r="C547" s="6"/>
      <c r="E547" s="10"/>
      <c r="G547" s="6"/>
      <c r="H547" s="6"/>
    </row>
    <row r="548" ht="15.75" customHeight="1">
      <c r="B548" s="6"/>
      <c r="C548" s="6"/>
      <c r="E548" s="10"/>
      <c r="G548" s="6"/>
      <c r="H548" s="6"/>
    </row>
    <row r="549" ht="15.75" customHeight="1">
      <c r="B549" s="6"/>
      <c r="C549" s="6"/>
      <c r="E549" s="10"/>
      <c r="G549" s="6"/>
      <c r="H549" s="6"/>
    </row>
    <row r="550" ht="15.75" customHeight="1">
      <c r="B550" s="6"/>
      <c r="C550" s="6"/>
      <c r="E550" s="10"/>
      <c r="G550" s="6"/>
      <c r="H550" s="6"/>
    </row>
    <row r="551" ht="15.75" customHeight="1">
      <c r="B551" s="6"/>
      <c r="C551" s="6"/>
      <c r="E551" s="10"/>
      <c r="G551" s="6"/>
      <c r="H551" s="6"/>
    </row>
    <row r="552" ht="15.75" customHeight="1">
      <c r="B552" s="6"/>
      <c r="C552" s="6"/>
      <c r="E552" s="10"/>
      <c r="G552" s="6"/>
      <c r="H552" s="6"/>
    </row>
    <row r="553" ht="15.75" customHeight="1">
      <c r="B553" s="6"/>
      <c r="C553" s="6"/>
      <c r="E553" s="10"/>
      <c r="G553" s="6"/>
      <c r="H553" s="6"/>
    </row>
    <row r="554" ht="15.75" customHeight="1">
      <c r="B554" s="6"/>
      <c r="C554" s="6"/>
      <c r="E554" s="10"/>
      <c r="G554" s="6"/>
      <c r="H554" s="6"/>
    </row>
    <row r="555" ht="15.75" customHeight="1">
      <c r="B555" s="6"/>
      <c r="C555" s="6"/>
      <c r="E555" s="10"/>
      <c r="G555" s="6"/>
      <c r="H555" s="6"/>
    </row>
    <row r="556" ht="15.75" customHeight="1">
      <c r="B556" s="6"/>
      <c r="C556" s="6"/>
      <c r="E556" s="10"/>
      <c r="G556" s="6"/>
      <c r="H556" s="6"/>
    </row>
    <row r="557" ht="15.75" customHeight="1">
      <c r="B557" s="6"/>
      <c r="C557" s="6"/>
      <c r="E557" s="10"/>
      <c r="G557" s="6"/>
      <c r="H557" s="6"/>
    </row>
    <row r="558" ht="15.75" customHeight="1">
      <c r="B558" s="6"/>
      <c r="C558" s="6"/>
      <c r="E558" s="10"/>
      <c r="G558" s="6"/>
      <c r="H558" s="6"/>
    </row>
    <row r="559" ht="15.75" customHeight="1">
      <c r="B559" s="6"/>
      <c r="C559" s="6"/>
      <c r="E559" s="10"/>
      <c r="G559" s="6"/>
      <c r="H559" s="6"/>
    </row>
    <row r="560" ht="15.75" customHeight="1">
      <c r="B560" s="6"/>
      <c r="C560" s="6"/>
      <c r="E560" s="10"/>
      <c r="G560" s="6"/>
      <c r="H560" s="6"/>
    </row>
    <row r="561" ht="15.75" customHeight="1">
      <c r="B561" s="6"/>
      <c r="C561" s="6"/>
      <c r="E561" s="10"/>
      <c r="G561" s="6"/>
      <c r="H561" s="6"/>
    </row>
    <row r="562" ht="15.75" customHeight="1">
      <c r="B562" s="6"/>
      <c r="C562" s="6"/>
      <c r="E562" s="10"/>
      <c r="G562" s="6"/>
      <c r="H562" s="6"/>
    </row>
    <row r="563" ht="15.75" customHeight="1">
      <c r="B563" s="6"/>
      <c r="C563" s="6"/>
      <c r="E563" s="10"/>
      <c r="G563" s="6"/>
      <c r="H563" s="6"/>
    </row>
    <row r="564" ht="15.75" customHeight="1">
      <c r="B564" s="6"/>
      <c r="C564" s="6"/>
      <c r="E564" s="10"/>
      <c r="G564" s="6"/>
      <c r="H564" s="6"/>
    </row>
    <row r="565" ht="15.75" customHeight="1">
      <c r="B565" s="6"/>
      <c r="C565" s="6"/>
      <c r="E565" s="10"/>
      <c r="G565" s="6"/>
      <c r="H565" s="6"/>
    </row>
    <row r="566" ht="15.75" customHeight="1">
      <c r="B566" s="6"/>
      <c r="C566" s="6"/>
      <c r="E566" s="10"/>
      <c r="G566" s="6"/>
      <c r="H566" s="6"/>
    </row>
    <row r="567" ht="15.75" customHeight="1">
      <c r="B567" s="6"/>
      <c r="C567" s="6"/>
      <c r="E567" s="10"/>
      <c r="G567" s="6"/>
      <c r="H567" s="6"/>
    </row>
    <row r="568" ht="15.75" customHeight="1">
      <c r="B568" s="6"/>
      <c r="C568" s="6"/>
      <c r="E568" s="10"/>
      <c r="G568" s="6"/>
      <c r="H568" s="6"/>
    </row>
    <row r="569" ht="15.75" customHeight="1">
      <c r="B569" s="6"/>
      <c r="C569" s="6"/>
      <c r="E569" s="10"/>
      <c r="G569" s="6"/>
      <c r="H569" s="6"/>
    </row>
    <row r="570" ht="15.75" customHeight="1">
      <c r="B570" s="6"/>
      <c r="C570" s="6"/>
      <c r="E570" s="10"/>
      <c r="G570" s="6"/>
      <c r="H570" s="6"/>
    </row>
    <row r="571" ht="15.75" customHeight="1">
      <c r="B571" s="6"/>
      <c r="C571" s="6"/>
      <c r="E571" s="10"/>
      <c r="G571" s="6"/>
      <c r="H571" s="6"/>
    </row>
    <row r="572" ht="15.75" customHeight="1">
      <c r="B572" s="6"/>
      <c r="C572" s="6"/>
      <c r="E572" s="10"/>
      <c r="G572" s="6"/>
      <c r="H572" s="6"/>
    </row>
    <row r="573" ht="15.75" customHeight="1">
      <c r="B573" s="6"/>
      <c r="C573" s="6"/>
      <c r="E573" s="10"/>
      <c r="G573" s="6"/>
      <c r="H573" s="6"/>
    </row>
    <row r="574" ht="15.75" customHeight="1">
      <c r="B574" s="6"/>
      <c r="C574" s="6"/>
      <c r="E574" s="10"/>
      <c r="G574" s="6"/>
      <c r="H574" s="6"/>
    </row>
    <row r="575" ht="15.75" customHeight="1">
      <c r="B575" s="6"/>
      <c r="C575" s="6"/>
      <c r="E575" s="10"/>
      <c r="G575" s="6"/>
      <c r="H575" s="6"/>
    </row>
    <row r="576" ht="15.75" customHeight="1">
      <c r="B576" s="6"/>
      <c r="C576" s="6"/>
      <c r="E576" s="10"/>
      <c r="G576" s="6"/>
      <c r="H576" s="6"/>
    </row>
    <row r="577" ht="15.75" customHeight="1">
      <c r="B577" s="6"/>
      <c r="C577" s="6"/>
      <c r="E577" s="10"/>
      <c r="G577" s="6"/>
      <c r="H577" s="6"/>
    </row>
    <row r="578" ht="15.75" customHeight="1">
      <c r="B578" s="6"/>
      <c r="C578" s="6"/>
      <c r="E578" s="10"/>
      <c r="G578" s="6"/>
      <c r="H578" s="6"/>
    </row>
    <row r="579" ht="15.75" customHeight="1">
      <c r="B579" s="6"/>
      <c r="C579" s="6"/>
      <c r="E579" s="10"/>
      <c r="G579" s="6"/>
      <c r="H579" s="6"/>
    </row>
    <row r="580" ht="15.75" customHeight="1">
      <c r="B580" s="6"/>
      <c r="C580" s="6"/>
      <c r="E580" s="10"/>
      <c r="G580" s="6"/>
      <c r="H580" s="6"/>
    </row>
    <row r="581" ht="15.75" customHeight="1">
      <c r="B581" s="6"/>
      <c r="C581" s="6"/>
      <c r="E581" s="10"/>
      <c r="G581" s="6"/>
      <c r="H581" s="6"/>
    </row>
    <row r="582" ht="15.75" customHeight="1">
      <c r="B582" s="6"/>
      <c r="C582" s="6"/>
      <c r="E582" s="10"/>
      <c r="G582" s="6"/>
      <c r="H582" s="6"/>
    </row>
    <row r="583" ht="15.75" customHeight="1">
      <c r="B583" s="6"/>
      <c r="C583" s="6"/>
      <c r="E583" s="10"/>
      <c r="G583" s="6"/>
      <c r="H583" s="6"/>
    </row>
    <row r="584" ht="15.75" customHeight="1">
      <c r="B584" s="6"/>
      <c r="C584" s="6"/>
      <c r="E584" s="10"/>
      <c r="G584" s="6"/>
      <c r="H584" s="6"/>
    </row>
    <row r="585" ht="15.75" customHeight="1">
      <c r="B585" s="6"/>
      <c r="C585" s="6"/>
      <c r="E585" s="10"/>
      <c r="G585" s="6"/>
      <c r="H585" s="6"/>
    </row>
    <row r="586" ht="15.75" customHeight="1">
      <c r="B586" s="6"/>
      <c r="C586" s="6"/>
      <c r="E586" s="10"/>
      <c r="G586" s="6"/>
      <c r="H586" s="6"/>
    </row>
    <row r="587" ht="15.75" customHeight="1">
      <c r="B587" s="6"/>
      <c r="C587" s="6"/>
      <c r="E587" s="10"/>
      <c r="G587" s="6"/>
      <c r="H587" s="6"/>
    </row>
    <row r="588" ht="15.75" customHeight="1">
      <c r="B588" s="6"/>
      <c r="C588" s="6"/>
      <c r="E588" s="10"/>
      <c r="G588" s="6"/>
      <c r="H588" s="6"/>
    </row>
    <row r="589" ht="15.75" customHeight="1">
      <c r="B589" s="6"/>
      <c r="C589" s="6"/>
      <c r="E589" s="10"/>
      <c r="G589" s="6"/>
      <c r="H589" s="6"/>
    </row>
    <row r="590" ht="15.75" customHeight="1">
      <c r="B590" s="6"/>
      <c r="C590" s="6"/>
      <c r="E590" s="10"/>
      <c r="G590" s="6"/>
      <c r="H590" s="6"/>
    </row>
    <row r="591" ht="15.75" customHeight="1">
      <c r="B591" s="6"/>
      <c r="C591" s="6"/>
      <c r="E591" s="10"/>
      <c r="G591" s="6"/>
      <c r="H591" s="6"/>
    </row>
    <row r="592" ht="15.75" customHeight="1">
      <c r="B592" s="6"/>
      <c r="C592" s="6"/>
      <c r="E592" s="10"/>
      <c r="G592" s="6"/>
      <c r="H592" s="6"/>
    </row>
    <row r="593" ht="15.75" customHeight="1">
      <c r="B593" s="6"/>
      <c r="C593" s="6"/>
      <c r="E593" s="10"/>
      <c r="G593" s="6"/>
      <c r="H593" s="6"/>
    </row>
    <row r="594" ht="15.75" customHeight="1">
      <c r="B594" s="6"/>
      <c r="C594" s="6"/>
      <c r="E594" s="10"/>
      <c r="G594" s="6"/>
      <c r="H594" s="6"/>
    </row>
    <row r="595" ht="15.75" customHeight="1">
      <c r="B595" s="6"/>
      <c r="C595" s="6"/>
      <c r="E595" s="10"/>
      <c r="G595" s="6"/>
      <c r="H595" s="6"/>
    </row>
    <row r="596" ht="15.75" customHeight="1">
      <c r="B596" s="6"/>
      <c r="C596" s="6"/>
      <c r="E596" s="10"/>
      <c r="G596" s="6"/>
      <c r="H596" s="6"/>
    </row>
    <row r="597" ht="15.75" customHeight="1">
      <c r="B597" s="6"/>
      <c r="C597" s="6"/>
      <c r="E597" s="10"/>
      <c r="G597" s="6"/>
      <c r="H597" s="6"/>
    </row>
    <row r="598" ht="15.75" customHeight="1">
      <c r="B598" s="6"/>
      <c r="C598" s="6"/>
      <c r="E598" s="10"/>
      <c r="G598" s="6"/>
      <c r="H598" s="6"/>
    </row>
    <row r="599" ht="15.75" customHeight="1">
      <c r="B599" s="6"/>
      <c r="C599" s="6"/>
      <c r="E599" s="10"/>
      <c r="G599" s="6"/>
      <c r="H599" s="6"/>
    </row>
    <row r="600" ht="15.75" customHeight="1">
      <c r="B600" s="6"/>
      <c r="C600" s="6"/>
      <c r="E600" s="10"/>
      <c r="G600" s="6"/>
      <c r="H600" s="6"/>
    </row>
    <row r="601" ht="15.75" customHeight="1">
      <c r="B601" s="6"/>
      <c r="C601" s="6"/>
      <c r="E601" s="10"/>
      <c r="G601" s="6"/>
      <c r="H601" s="6"/>
    </row>
    <row r="602" ht="15.75" customHeight="1">
      <c r="B602" s="6"/>
      <c r="C602" s="6"/>
      <c r="E602" s="10"/>
      <c r="G602" s="6"/>
      <c r="H602" s="6"/>
    </row>
    <row r="603" ht="15.75" customHeight="1">
      <c r="B603" s="6"/>
      <c r="C603" s="6"/>
      <c r="E603" s="10"/>
      <c r="G603" s="6"/>
      <c r="H603" s="6"/>
    </row>
    <row r="604" ht="15.75" customHeight="1">
      <c r="B604" s="6"/>
      <c r="C604" s="6"/>
      <c r="E604" s="10"/>
      <c r="G604" s="6"/>
      <c r="H604" s="6"/>
    </row>
    <row r="605" ht="15.75" customHeight="1">
      <c r="B605" s="6"/>
      <c r="C605" s="6"/>
      <c r="E605" s="10"/>
      <c r="G605" s="6"/>
      <c r="H605" s="6"/>
    </row>
    <row r="606" ht="15.75" customHeight="1">
      <c r="B606" s="6"/>
      <c r="C606" s="6"/>
      <c r="E606" s="10"/>
      <c r="G606" s="6"/>
      <c r="H606" s="6"/>
    </row>
    <row r="607" ht="15.75" customHeight="1">
      <c r="B607" s="6"/>
      <c r="C607" s="6"/>
      <c r="E607" s="10"/>
      <c r="G607" s="6"/>
      <c r="H607" s="6"/>
    </row>
    <row r="608" ht="15.75" customHeight="1">
      <c r="B608" s="6"/>
      <c r="C608" s="6"/>
      <c r="E608" s="10"/>
      <c r="G608" s="6"/>
      <c r="H608" s="6"/>
    </row>
    <row r="609" ht="15.75" customHeight="1">
      <c r="B609" s="6"/>
      <c r="C609" s="6"/>
      <c r="E609" s="10"/>
      <c r="G609" s="6"/>
      <c r="H609" s="6"/>
    </row>
    <row r="610" ht="15.75" customHeight="1">
      <c r="B610" s="6"/>
      <c r="C610" s="6"/>
      <c r="E610" s="10"/>
      <c r="G610" s="6"/>
      <c r="H610" s="6"/>
    </row>
    <row r="611" ht="15.75" customHeight="1">
      <c r="B611" s="6"/>
      <c r="C611" s="6"/>
      <c r="E611" s="10"/>
      <c r="G611" s="6"/>
      <c r="H611" s="6"/>
    </row>
    <row r="612" ht="15.75" customHeight="1">
      <c r="B612" s="6"/>
      <c r="C612" s="6"/>
      <c r="E612" s="10"/>
      <c r="G612" s="6"/>
      <c r="H612" s="6"/>
    </row>
    <row r="613" ht="15.75" customHeight="1">
      <c r="B613" s="6"/>
      <c r="C613" s="6"/>
      <c r="E613" s="10"/>
      <c r="G613" s="6"/>
      <c r="H613" s="6"/>
    </row>
    <row r="614" ht="15.75" customHeight="1">
      <c r="B614" s="6"/>
      <c r="C614" s="6"/>
      <c r="E614" s="10"/>
      <c r="G614" s="6"/>
      <c r="H614" s="6"/>
    </row>
    <row r="615" ht="15.75" customHeight="1">
      <c r="B615" s="6"/>
      <c r="C615" s="6"/>
      <c r="E615" s="10"/>
      <c r="G615" s="6"/>
      <c r="H615" s="6"/>
    </row>
    <row r="616" ht="15.75" customHeight="1">
      <c r="B616" s="6"/>
      <c r="C616" s="6"/>
      <c r="E616" s="10"/>
      <c r="G616" s="6"/>
      <c r="H616" s="6"/>
    </row>
    <row r="617" ht="15.75" customHeight="1">
      <c r="B617" s="6"/>
      <c r="C617" s="6"/>
      <c r="E617" s="10"/>
      <c r="G617" s="6"/>
      <c r="H617" s="6"/>
    </row>
    <row r="618" ht="15.75" customHeight="1">
      <c r="B618" s="6"/>
      <c r="C618" s="6"/>
      <c r="E618" s="10"/>
      <c r="G618" s="6"/>
      <c r="H618" s="6"/>
    </row>
    <row r="619" ht="15.75" customHeight="1">
      <c r="B619" s="6"/>
      <c r="C619" s="6"/>
      <c r="E619" s="10"/>
      <c r="G619" s="6"/>
      <c r="H619" s="6"/>
    </row>
    <row r="620" ht="15.75" customHeight="1">
      <c r="B620" s="6"/>
      <c r="C620" s="6"/>
      <c r="E620" s="10"/>
      <c r="G620" s="6"/>
      <c r="H620" s="6"/>
    </row>
    <row r="621" ht="15.75" customHeight="1">
      <c r="B621" s="6"/>
      <c r="C621" s="6"/>
      <c r="E621" s="10"/>
      <c r="G621" s="6"/>
      <c r="H621" s="6"/>
    </row>
    <row r="622" ht="15.75" customHeight="1">
      <c r="B622" s="6"/>
      <c r="C622" s="6"/>
      <c r="E622" s="10"/>
      <c r="G622" s="6"/>
      <c r="H622" s="6"/>
    </row>
    <row r="623" ht="15.75" customHeight="1">
      <c r="B623" s="6"/>
      <c r="C623" s="6"/>
      <c r="E623" s="10"/>
      <c r="G623" s="6"/>
      <c r="H623" s="6"/>
    </row>
    <row r="624" ht="15.75" customHeight="1">
      <c r="B624" s="6"/>
      <c r="C624" s="6"/>
      <c r="E624" s="10"/>
      <c r="G624" s="6"/>
      <c r="H624" s="6"/>
    </row>
    <row r="625" ht="15.75" customHeight="1">
      <c r="B625" s="6"/>
      <c r="C625" s="6"/>
      <c r="E625" s="10"/>
      <c r="G625" s="6"/>
      <c r="H625" s="6"/>
    </row>
    <row r="626" ht="15.75" customHeight="1">
      <c r="B626" s="6"/>
      <c r="C626" s="6"/>
      <c r="E626" s="10"/>
      <c r="G626" s="6"/>
      <c r="H626" s="6"/>
    </row>
    <row r="627" ht="15.75" customHeight="1">
      <c r="B627" s="6"/>
      <c r="C627" s="6"/>
      <c r="E627" s="10"/>
      <c r="G627" s="6"/>
      <c r="H627" s="6"/>
    </row>
    <row r="628" ht="15.75" customHeight="1">
      <c r="B628" s="6"/>
      <c r="C628" s="6"/>
      <c r="E628" s="10"/>
      <c r="G628" s="6"/>
      <c r="H628" s="6"/>
    </row>
    <row r="629" ht="15.75" customHeight="1">
      <c r="B629" s="6"/>
      <c r="C629" s="6"/>
      <c r="E629" s="10"/>
      <c r="G629" s="6"/>
      <c r="H629" s="6"/>
    </row>
    <row r="630" ht="15.75" customHeight="1">
      <c r="B630" s="6"/>
      <c r="C630" s="6"/>
      <c r="E630" s="10"/>
      <c r="G630" s="6"/>
      <c r="H630" s="6"/>
    </row>
    <row r="631" ht="15.75" customHeight="1">
      <c r="B631" s="6"/>
      <c r="C631" s="6"/>
      <c r="E631" s="10"/>
      <c r="G631" s="6"/>
      <c r="H631" s="6"/>
    </row>
    <row r="632" ht="15.75" customHeight="1">
      <c r="B632" s="6"/>
      <c r="C632" s="6"/>
      <c r="E632" s="10"/>
      <c r="G632" s="6"/>
      <c r="H632" s="6"/>
    </row>
    <row r="633" ht="15.75" customHeight="1">
      <c r="B633" s="6"/>
      <c r="C633" s="6"/>
      <c r="E633" s="10"/>
      <c r="G633" s="6"/>
      <c r="H633" s="6"/>
    </row>
    <row r="634" ht="15.75" customHeight="1">
      <c r="B634" s="6"/>
      <c r="C634" s="6"/>
      <c r="E634" s="10"/>
      <c r="G634" s="6"/>
      <c r="H634" s="6"/>
    </row>
    <row r="635" ht="15.75" customHeight="1">
      <c r="B635" s="6"/>
      <c r="C635" s="6"/>
      <c r="E635" s="10"/>
      <c r="G635" s="6"/>
      <c r="H635" s="6"/>
    </row>
    <row r="636" ht="15.75" customHeight="1">
      <c r="B636" s="6"/>
      <c r="C636" s="6"/>
      <c r="E636" s="10"/>
      <c r="G636" s="6"/>
      <c r="H636" s="6"/>
    </row>
    <row r="637" ht="15.75" customHeight="1">
      <c r="B637" s="6"/>
      <c r="C637" s="6"/>
      <c r="E637" s="10"/>
      <c r="G637" s="6"/>
      <c r="H637" s="6"/>
    </row>
    <row r="638" ht="15.75" customHeight="1">
      <c r="B638" s="6"/>
      <c r="C638" s="6"/>
      <c r="E638" s="10"/>
      <c r="G638" s="6"/>
      <c r="H638" s="6"/>
    </row>
    <row r="639" ht="15.75" customHeight="1">
      <c r="B639" s="6"/>
      <c r="C639" s="6"/>
      <c r="E639" s="10"/>
      <c r="G639" s="6"/>
      <c r="H639" s="6"/>
    </row>
    <row r="640" ht="15.75" customHeight="1">
      <c r="B640" s="6"/>
      <c r="C640" s="6"/>
      <c r="E640" s="10"/>
      <c r="G640" s="6"/>
      <c r="H640" s="6"/>
    </row>
    <row r="641" ht="15.75" customHeight="1">
      <c r="B641" s="6"/>
      <c r="C641" s="6"/>
      <c r="E641" s="10"/>
      <c r="G641" s="6"/>
      <c r="H641" s="6"/>
    </row>
    <row r="642" ht="15.75" customHeight="1">
      <c r="B642" s="6"/>
      <c r="C642" s="6"/>
      <c r="E642" s="10"/>
      <c r="G642" s="6"/>
      <c r="H642" s="6"/>
    </row>
    <row r="643" ht="15.75" customHeight="1">
      <c r="B643" s="6"/>
      <c r="C643" s="6"/>
      <c r="E643" s="10"/>
      <c r="G643" s="6"/>
      <c r="H643" s="6"/>
    </row>
    <row r="644" ht="15.75" customHeight="1">
      <c r="B644" s="6"/>
      <c r="C644" s="6"/>
      <c r="E644" s="10"/>
      <c r="G644" s="6"/>
      <c r="H644" s="6"/>
    </row>
    <row r="645" ht="15.75" customHeight="1">
      <c r="B645" s="6"/>
      <c r="C645" s="6"/>
      <c r="E645" s="10"/>
      <c r="G645" s="6"/>
      <c r="H645" s="6"/>
    </row>
    <row r="646" ht="15.75" customHeight="1">
      <c r="B646" s="6"/>
      <c r="C646" s="6"/>
      <c r="E646" s="10"/>
      <c r="G646" s="6"/>
      <c r="H646" s="6"/>
    </row>
    <row r="647" ht="15.75" customHeight="1">
      <c r="B647" s="6"/>
      <c r="C647" s="6"/>
      <c r="E647" s="10"/>
      <c r="G647" s="6"/>
      <c r="H647" s="6"/>
    </row>
    <row r="648" ht="15.75" customHeight="1">
      <c r="B648" s="6"/>
      <c r="C648" s="6"/>
      <c r="E648" s="10"/>
      <c r="G648" s="6"/>
      <c r="H648" s="6"/>
    </row>
    <row r="649" ht="15.75" customHeight="1">
      <c r="B649" s="6"/>
      <c r="C649" s="6"/>
      <c r="E649" s="10"/>
      <c r="G649" s="6"/>
      <c r="H649" s="6"/>
    </row>
    <row r="650" ht="15.75" customHeight="1">
      <c r="B650" s="6"/>
      <c r="C650" s="6"/>
      <c r="E650" s="10"/>
      <c r="G650" s="6"/>
      <c r="H650" s="6"/>
    </row>
    <row r="651" ht="15.75" customHeight="1">
      <c r="B651" s="6"/>
      <c r="C651" s="6"/>
      <c r="E651" s="10"/>
      <c r="G651" s="6"/>
      <c r="H651" s="6"/>
    </row>
    <row r="652" ht="15.75" customHeight="1">
      <c r="B652" s="6"/>
      <c r="C652" s="6"/>
      <c r="E652" s="10"/>
      <c r="G652" s="6"/>
      <c r="H652" s="6"/>
    </row>
    <row r="653" ht="15.75" customHeight="1">
      <c r="B653" s="6"/>
      <c r="C653" s="6"/>
      <c r="E653" s="10"/>
      <c r="G653" s="6"/>
      <c r="H653" s="6"/>
    </row>
    <row r="654" ht="15.75" customHeight="1">
      <c r="B654" s="6"/>
      <c r="C654" s="6"/>
      <c r="E654" s="10"/>
      <c r="G654" s="6"/>
      <c r="H654" s="6"/>
    </row>
    <row r="655" ht="15.75" customHeight="1">
      <c r="B655" s="6"/>
      <c r="C655" s="6"/>
      <c r="E655" s="10"/>
      <c r="G655" s="6"/>
      <c r="H655" s="6"/>
    </row>
    <row r="656" ht="15.75" customHeight="1">
      <c r="B656" s="6"/>
      <c r="C656" s="6"/>
      <c r="E656" s="10"/>
      <c r="G656" s="6"/>
      <c r="H656" s="6"/>
    </row>
    <row r="657" ht="15.75" customHeight="1">
      <c r="B657" s="6"/>
      <c r="C657" s="6"/>
      <c r="E657" s="10"/>
      <c r="G657" s="6"/>
      <c r="H657" s="6"/>
    </row>
    <row r="658" ht="15.75" customHeight="1">
      <c r="B658" s="6"/>
      <c r="C658" s="6"/>
      <c r="E658" s="10"/>
      <c r="G658" s="6"/>
      <c r="H658" s="6"/>
    </row>
    <row r="659" ht="15.75" customHeight="1">
      <c r="B659" s="6"/>
      <c r="C659" s="6"/>
      <c r="E659" s="10"/>
      <c r="G659" s="6"/>
      <c r="H659" s="6"/>
    </row>
    <row r="660" ht="15.75" customHeight="1">
      <c r="B660" s="6"/>
      <c r="C660" s="6"/>
      <c r="E660" s="10"/>
      <c r="G660" s="6"/>
      <c r="H660" s="6"/>
    </row>
    <row r="661" ht="15.75" customHeight="1">
      <c r="B661" s="6"/>
      <c r="C661" s="6"/>
      <c r="E661" s="10"/>
      <c r="G661" s="6"/>
      <c r="H661" s="6"/>
    </row>
    <row r="662" ht="15.75" customHeight="1">
      <c r="B662" s="6"/>
      <c r="C662" s="6"/>
      <c r="E662" s="10"/>
      <c r="G662" s="6"/>
      <c r="H662" s="6"/>
    </row>
    <row r="663" ht="15.75" customHeight="1">
      <c r="B663" s="6"/>
      <c r="C663" s="6"/>
      <c r="E663" s="10"/>
      <c r="G663" s="6"/>
      <c r="H663" s="6"/>
    </row>
    <row r="664" ht="15.75" customHeight="1">
      <c r="B664" s="6"/>
      <c r="C664" s="6"/>
      <c r="E664" s="10"/>
      <c r="G664" s="6"/>
      <c r="H664" s="6"/>
    </row>
    <row r="665" ht="15.75" customHeight="1">
      <c r="B665" s="6"/>
      <c r="C665" s="6"/>
      <c r="E665" s="10"/>
      <c r="G665" s="6"/>
      <c r="H665" s="6"/>
    </row>
    <row r="666" ht="15.75" customHeight="1">
      <c r="B666" s="6"/>
      <c r="C666" s="6"/>
      <c r="E666" s="10"/>
      <c r="G666" s="6"/>
      <c r="H666" s="6"/>
    </row>
    <row r="667" ht="15.75" customHeight="1">
      <c r="B667" s="6"/>
      <c r="C667" s="6"/>
      <c r="E667" s="10"/>
      <c r="G667" s="6"/>
      <c r="H667" s="6"/>
    </row>
    <row r="668" ht="15.75" customHeight="1">
      <c r="B668" s="6"/>
      <c r="C668" s="6"/>
      <c r="E668" s="10"/>
      <c r="G668" s="6"/>
      <c r="H668" s="6"/>
    </row>
    <row r="669" ht="15.75" customHeight="1">
      <c r="B669" s="6"/>
      <c r="C669" s="6"/>
      <c r="E669" s="10"/>
      <c r="G669" s="6"/>
      <c r="H669" s="6"/>
    </row>
    <row r="670" ht="15.75" customHeight="1">
      <c r="B670" s="6"/>
      <c r="C670" s="6"/>
      <c r="E670" s="10"/>
      <c r="G670" s="6"/>
      <c r="H670" s="6"/>
    </row>
    <row r="671" ht="15.75" customHeight="1">
      <c r="B671" s="6"/>
      <c r="C671" s="6"/>
      <c r="E671" s="10"/>
      <c r="G671" s="6"/>
      <c r="H671" s="6"/>
    </row>
    <row r="672" ht="15.75" customHeight="1">
      <c r="B672" s="6"/>
      <c r="C672" s="6"/>
      <c r="E672" s="10"/>
      <c r="G672" s="6"/>
      <c r="H672" s="6"/>
    </row>
    <row r="673" ht="15.75" customHeight="1">
      <c r="B673" s="6"/>
      <c r="C673" s="6"/>
      <c r="E673" s="10"/>
      <c r="G673" s="6"/>
      <c r="H673" s="6"/>
    </row>
    <row r="674" ht="15.75" customHeight="1">
      <c r="B674" s="6"/>
      <c r="C674" s="6"/>
      <c r="E674" s="10"/>
      <c r="G674" s="6"/>
      <c r="H674" s="6"/>
    </row>
    <row r="675" ht="15.75" customHeight="1">
      <c r="B675" s="6"/>
      <c r="C675" s="6"/>
      <c r="E675" s="10"/>
      <c r="G675" s="6"/>
      <c r="H675" s="6"/>
    </row>
    <row r="676" ht="15.75" customHeight="1">
      <c r="B676" s="6"/>
      <c r="C676" s="6"/>
      <c r="E676" s="10"/>
      <c r="G676" s="6"/>
      <c r="H676" s="6"/>
    </row>
    <row r="677" ht="15.75" customHeight="1">
      <c r="B677" s="6"/>
      <c r="C677" s="6"/>
      <c r="E677" s="10"/>
      <c r="G677" s="6"/>
      <c r="H677" s="6"/>
    </row>
    <row r="678" ht="15.75" customHeight="1">
      <c r="B678" s="6"/>
      <c r="C678" s="6"/>
      <c r="E678" s="10"/>
      <c r="G678" s="6"/>
      <c r="H678" s="6"/>
    </row>
    <row r="679" ht="15.75" customHeight="1">
      <c r="B679" s="6"/>
      <c r="C679" s="6"/>
      <c r="E679" s="10"/>
      <c r="G679" s="6"/>
      <c r="H679" s="6"/>
    </row>
    <row r="680" ht="15.75" customHeight="1">
      <c r="B680" s="6"/>
      <c r="C680" s="6"/>
      <c r="E680" s="10"/>
      <c r="G680" s="6"/>
      <c r="H680" s="6"/>
    </row>
    <row r="681" ht="15.75" customHeight="1">
      <c r="B681" s="6"/>
      <c r="C681" s="6"/>
      <c r="E681" s="10"/>
      <c r="G681" s="6"/>
      <c r="H681" s="6"/>
    </row>
    <row r="682" ht="15.75" customHeight="1">
      <c r="B682" s="6"/>
      <c r="C682" s="6"/>
      <c r="E682" s="10"/>
      <c r="G682" s="6"/>
      <c r="H682" s="6"/>
    </row>
    <row r="683" ht="15.75" customHeight="1">
      <c r="B683" s="6"/>
      <c r="C683" s="6"/>
      <c r="E683" s="10"/>
      <c r="G683" s="6"/>
      <c r="H683" s="6"/>
    </row>
    <row r="684" ht="15.75" customHeight="1">
      <c r="B684" s="6"/>
      <c r="C684" s="6"/>
      <c r="E684" s="10"/>
      <c r="G684" s="6"/>
      <c r="H684" s="6"/>
    </row>
    <row r="685" ht="15.75" customHeight="1">
      <c r="B685" s="6"/>
      <c r="C685" s="6"/>
      <c r="E685" s="10"/>
      <c r="G685" s="6"/>
      <c r="H685" s="6"/>
    </row>
    <row r="686" ht="15.75" customHeight="1">
      <c r="B686" s="6"/>
      <c r="C686" s="6"/>
      <c r="E686" s="10"/>
      <c r="G686" s="6"/>
      <c r="H686" s="6"/>
    </row>
    <row r="687" ht="15.75" customHeight="1">
      <c r="B687" s="6"/>
      <c r="C687" s="6"/>
      <c r="E687" s="10"/>
      <c r="G687" s="6"/>
      <c r="H687" s="6"/>
    </row>
    <row r="688" ht="15.75" customHeight="1">
      <c r="B688" s="6"/>
      <c r="C688" s="6"/>
      <c r="E688" s="10"/>
      <c r="G688" s="6"/>
      <c r="H688" s="6"/>
    </row>
    <row r="689" ht="15.75" customHeight="1">
      <c r="B689" s="6"/>
      <c r="C689" s="6"/>
      <c r="E689" s="10"/>
      <c r="G689" s="6"/>
      <c r="H689" s="6"/>
    </row>
    <row r="690" ht="15.75" customHeight="1">
      <c r="B690" s="6"/>
      <c r="C690" s="6"/>
      <c r="E690" s="10"/>
      <c r="G690" s="6"/>
      <c r="H690" s="6"/>
    </row>
    <row r="691" ht="15.75" customHeight="1">
      <c r="B691" s="6"/>
      <c r="C691" s="6"/>
      <c r="E691" s="10"/>
      <c r="G691" s="6"/>
      <c r="H691" s="6"/>
    </row>
    <row r="692" ht="15.75" customHeight="1">
      <c r="B692" s="6"/>
      <c r="C692" s="6"/>
      <c r="E692" s="10"/>
      <c r="G692" s="6"/>
      <c r="H692" s="6"/>
    </row>
    <row r="693" ht="15.75" customHeight="1">
      <c r="B693" s="6"/>
      <c r="C693" s="6"/>
      <c r="E693" s="10"/>
      <c r="G693" s="6"/>
      <c r="H693" s="6"/>
    </row>
    <row r="694" ht="15.75" customHeight="1">
      <c r="B694" s="6"/>
      <c r="C694" s="6"/>
      <c r="E694" s="10"/>
      <c r="G694" s="6"/>
      <c r="H694" s="6"/>
    </row>
    <row r="695" ht="15.75" customHeight="1">
      <c r="B695" s="6"/>
      <c r="C695" s="6"/>
      <c r="E695" s="10"/>
      <c r="G695" s="6"/>
      <c r="H695" s="6"/>
    </row>
    <row r="696" ht="15.75" customHeight="1">
      <c r="B696" s="6"/>
      <c r="C696" s="6"/>
      <c r="E696" s="10"/>
      <c r="G696" s="6"/>
      <c r="H696" s="6"/>
    </row>
    <row r="697" ht="15.75" customHeight="1">
      <c r="B697" s="6"/>
      <c r="C697" s="6"/>
      <c r="E697" s="10"/>
      <c r="G697" s="6"/>
      <c r="H697" s="6"/>
    </row>
    <row r="698" ht="15.75" customHeight="1">
      <c r="B698" s="6"/>
      <c r="C698" s="6"/>
      <c r="E698" s="10"/>
      <c r="G698" s="6"/>
      <c r="H698" s="6"/>
    </row>
    <row r="699" ht="15.75" customHeight="1">
      <c r="B699" s="6"/>
      <c r="C699" s="6"/>
      <c r="E699" s="10"/>
      <c r="G699" s="6"/>
      <c r="H699" s="6"/>
    </row>
    <row r="700" ht="15.75" customHeight="1">
      <c r="B700" s="6"/>
      <c r="C700" s="6"/>
      <c r="E700" s="10"/>
      <c r="G700" s="6"/>
      <c r="H700" s="6"/>
    </row>
    <row r="701" ht="15.75" customHeight="1">
      <c r="B701" s="6"/>
      <c r="C701" s="6"/>
      <c r="E701" s="10"/>
      <c r="G701" s="6"/>
      <c r="H701" s="6"/>
    </row>
    <row r="702" ht="15.75" customHeight="1">
      <c r="B702" s="6"/>
      <c r="C702" s="6"/>
      <c r="E702" s="10"/>
      <c r="G702" s="6"/>
      <c r="H702" s="6"/>
    </row>
    <row r="703" ht="15.75" customHeight="1">
      <c r="B703" s="6"/>
      <c r="C703" s="6"/>
      <c r="E703" s="10"/>
      <c r="G703" s="6"/>
      <c r="H703" s="6"/>
    </row>
    <row r="704" ht="15.75" customHeight="1">
      <c r="B704" s="6"/>
      <c r="C704" s="6"/>
      <c r="E704" s="10"/>
      <c r="G704" s="6"/>
      <c r="H704" s="6"/>
    </row>
    <row r="705" ht="15.75" customHeight="1">
      <c r="B705" s="6"/>
      <c r="C705" s="6"/>
      <c r="E705" s="10"/>
      <c r="G705" s="6"/>
      <c r="H705" s="6"/>
    </row>
    <row r="706" ht="15.75" customHeight="1">
      <c r="B706" s="6"/>
      <c r="C706" s="6"/>
      <c r="E706" s="10"/>
      <c r="G706" s="6"/>
      <c r="H706" s="6"/>
    </row>
    <row r="707" ht="15.75" customHeight="1">
      <c r="B707" s="6"/>
      <c r="C707" s="6"/>
      <c r="E707" s="10"/>
      <c r="G707" s="6"/>
      <c r="H707" s="6"/>
    </row>
    <row r="708" ht="15.75" customHeight="1">
      <c r="B708" s="6"/>
      <c r="C708" s="6"/>
      <c r="E708" s="10"/>
      <c r="G708" s="6"/>
      <c r="H708" s="6"/>
    </row>
    <row r="709" ht="15.75" customHeight="1">
      <c r="B709" s="6"/>
      <c r="C709" s="6"/>
      <c r="E709" s="10"/>
      <c r="G709" s="6"/>
      <c r="H709" s="6"/>
    </row>
    <row r="710" ht="15.75" customHeight="1">
      <c r="B710" s="6"/>
      <c r="C710" s="6"/>
      <c r="E710" s="10"/>
      <c r="G710" s="6"/>
      <c r="H710" s="6"/>
    </row>
    <row r="711" ht="15.75" customHeight="1">
      <c r="B711" s="6"/>
      <c r="C711" s="6"/>
      <c r="E711" s="10"/>
      <c r="G711" s="6"/>
      <c r="H711" s="6"/>
    </row>
    <row r="712" ht="15.75" customHeight="1">
      <c r="B712" s="6"/>
      <c r="C712" s="6"/>
      <c r="E712" s="10"/>
      <c r="G712" s="6"/>
      <c r="H712" s="6"/>
    </row>
    <row r="713" ht="15.75" customHeight="1">
      <c r="B713" s="6"/>
      <c r="C713" s="6"/>
      <c r="E713" s="10"/>
      <c r="G713" s="6"/>
      <c r="H713" s="6"/>
    </row>
    <row r="714" ht="15.75" customHeight="1">
      <c r="B714" s="6"/>
      <c r="C714" s="6"/>
      <c r="E714" s="10"/>
      <c r="G714" s="6"/>
      <c r="H714" s="6"/>
    </row>
    <row r="715" ht="15.75" customHeight="1">
      <c r="B715" s="6"/>
      <c r="C715" s="6"/>
      <c r="E715" s="10"/>
      <c r="G715" s="6"/>
      <c r="H715" s="6"/>
    </row>
    <row r="716" ht="15.75" customHeight="1">
      <c r="B716" s="6"/>
      <c r="C716" s="6"/>
      <c r="E716" s="10"/>
      <c r="G716" s="6"/>
      <c r="H716" s="6"/>
    </row>
    <row r="717" ht="15.75" customHeight="1">
      <c r="B717" s="6"/>
      <c r="C717" s="6"/>
      <c r="E717" s="10"/>
      <c r="G717" s="6"/>
      <c r="H717" s="6"/>
    </row>
    <row r="718" ht="15.75" customHeight="1">
      <c r="B718" s="6"/>
      <c r="C718" s="6"/>
      <c r="E718" s="10"/>
      <c r="G718" s="6"/>
      <c r="H718" s="6"/>
    </row>
    <row r="719" ht="15.75" customHeight="1">
      <c r="B719" s="6"/>
      <c r="C719" s="6"/>
      <c r="E719" s="10"/>
      <c r="G719" s="6"/>
      <c r="H719" s="6"/>
    </row>
    <row r="720" ht="15.75" customHeight="1">
      <c r="B720" s="6"/>
      <c r="C720" s="6"/>
      <c r="E720" s="10"/>
      <c r="G720" s="6"/>
      <c r="H720" s="6"/>
    </row>
    <row r="721" ht="15.75" customHeight="1">
      <c r="B721" s="6"/>
      <c r="C721" s="6"/>
      <c r="E721" s="10"/>
      <c r="G721" s="6"/>
      <c r="H721" s="6"/>
    </row>
    <row r="722" ht="15.75" customHeight="1">
      <c r="B722" s="6"/>
      <c r="C722" s="6"/>
      <c r="E722" s="10"/>
      <c r="G722" s="6"/>
      <c r="H722" s="6"/>
    </row>
    <row r="723" ht="15.75" customHeight="1">
      <c r="B723" s="6"/>
      <c r="C723" s="6"/>
      <c r="E723" s="10"/>
      <c r="G723" s="6"/>
      <c r="H723" s="6"/>
    </row>
    <row r="724" ht="15.75" customHeight="1">
      <c r="B724" s="6"/>
      <c r="C724" s="6"/>
      <c r="E724" s="10"/>
      <c r="G724" s="6"/>
      <c r="H724" s="6"/>
    </row>
    <row r="725" ht="15.75" customHeight="1">
      <c r="B725" s="6"/>
      <c r="C725" s="6"/>
      <c r="E725" s="10"/>
      <c r="G725" s="6"/>
      <c r="H725" s="6"/>
    </row>
    <row r="726" ht="15.75" customHeight="1">
      <c r="B726" s="6"/>
      <c r="C726" s="6"/>
      <c r="E726" s="10"/>
      <c r="G726" s="6"/>
      <c r="H726" s="6"/>
    </row>
    <row r="727" ht="15.75" customHeight="1">
      <c r="B727" s="6"/>
      <c r="C727" s="6"/>
      <c r="E727" s="10"/>
      <c r="G727" s="6"/>
      <c r="H727" s="6"/>
    </row>
    <row r="728" ht="15.75" customHeight="1">
      <c r="B728" s="6"/>
      <c r="C728" s="6"/>
      <c r="E728" s="10"/>
      <c r="G728" s="6"/>
      <c r="H728" s="6"/>
    </row>
    <row r="729" ht="15.75" customHeight="1">
      <c r="B729" s="6"/>
      <c r="C729" s="6"/>
      <c r="E729" s="10"/>
      <c r="G729" s="6"/>
      <c r="H729" s="6"/>
    </row>
    <row r="730" ht="15.75" customHeight="1">
      <c r="B730" s="6"/>
      <c r="C730" s="6"/>
      <c r="E730" s="10"/>
      <c r="G730" s="6"/>
      <c r="H730" s="6"/>
    </row>
    <row r="731" ht="15.75" customHeight="1">
      <c r="B731" s="6"/>
      <c r="C731" s="6"/>
      <c r="E731" s="10"/>
      <c r="G731" s="6"/>
      <c r="H731" s="6"/>
    </row>
    <row r="732" ht="15.75" customHeight="1">
      <c r="B732" s="6"/>
      <c r="C732" s="6"/>
      <c r="E732" s="10"/>
      <c r="G732" s="6"/>
      <c r="H732" s="6"/>
    </row>
    <row r="733" ht="15.75" customHeight="1">
      <c r="B733" s="6"/>
      <c r="C733" s="6"/>
      <c r="E733" s="10"/>
      <c r="G733" s="6"/>
      <c r="H733" s="6"/>
    </row>
    <row r="734" ht="15.75" customHeight="1">
      <c r="B734" s="6"/>
      <c r="C734" s="6"/>
      <c r="E734" s="10"/>
      <c r="G734" s="6"/>
      <c r="H734" s="6"/>
    </row>
    <row r="735" ht="15.75" customHeight="1">
      <c r="B735" s="6"/>
      <c r="C735" s="6"/>
      <c r="E735" s="10"/>
      <c r="G735" s="6"/>
      <c r="H735" s="6"/>
    </row>
    <row r="736" ht="15.75" customHeight="1">
      <c r="B736" s="6"/>
      <c r="C736" s="6"/>
      <c r="E736" s="10"/>
      <c r="G736" s="6"/>
      <c r="H736" s="6"/>
    </row>
    <row r="737" ht="15.75" customHeight="1">
      <c r="B737" s="6"/>
      <c r="C737" s="6"/>
      <c r="E737" s="10"/>
      <c r="G737" s="6"/>
      <c r="H737" s="6"/>
    </row>
    <row r="738" ht="15.75" customHeight="1">
      <c r="B738" s="6"/>
      <c r="C738" s="6"/>
      <c r="E738" s="10"/>
      <c r="G738" s="6"/>
      <c r="H738" s="6"/>
    </row>
    <row r="739" ht="15.75" customHeight="1">
      <c r="B739" s="6"/>
      <c r="C739" s="6"/>
      <c r="E739" s="10"/>
      <c r="G739" s="6"/>
      <c r="H739" s="6"/>
    </row>
    <row r="740" ht="15.75" customHeight="1">
      <c r="B740" s="6"/>
      <c r="C740" s="6"/>
      <c r="E740" s="10"/>
      <c r="G740" s="6"/>
      <c r="H740" s="6"/>
    </row>
    <row r="741" ht="15.75" customHeight="1">
      <c r="B741" s="6"/>
      <c r="C741" s="6"/>
      <c r="E741" s="10"/>
      <c r="G741" s="6"/>
      <c r="H741" s="6"/>
    </row>
    <row r="742" ht="15.75" customHeight="1">
      <c r="B742" s="6"/>
      <c r="C742" s="6"/>
      <c r="E742" s="10"/>
      <c r="G742" s="6"/>
      <c r="H742" s="6"/>
    </row>
    <row r="743" ht="15.75" customHeight="1">
      <c r="B743" s="6"/>
      <c r="C743" s="6"/>
      <c r="E743" s="10"/>
      <c r="G743" s="6"/>
      <c r="H743" s="6"/>
    </row>
    <row r="744" ht="15.75" customHeight="1">
      <c r="B744" s="6"/>
      <c r="C744" s="6"/>
      <c r="E744" s="10"/>
      <c r="G744" s="6"/>
      <c r="H744" s="6"/>
    </row>
    <row r="745" ht="15.75" customHeight="1">
      <c r="B745" s="6"/>
      <c r="C745" s="6"/>
      <c r="E745" s="10"/>
      <c r="G745" s="6"/>
      <c r="H745" s="6"/>
    </row>
    <row r="746" ht="15.75" customHeight="1">
      <c r="B746" s="6"/>
      <c r="C746" s="6"/>
      <c r="E746" s="10"/>
      <c r="G746" s="6"/>
      <c r="H746" s="6"/>
    </row>
    <row r="747" ht="15.75" customHeight="1">
      <c r="B747" s="6"/>
      <c r="C747" s="6"/>
      <c r="E747" s="10"/>
      <c r="G747" s="6"/>
      <c r="H747" s="6"/>
    </row>
    <row r="748" ht="15.75" customHeight="1">
      <c r="B748" s="6"/>
      <c r="C748" s="6"/>
      <c r="E748" s="10"/>
      <c r="G748" s="6"/>
      <c r="H748" s="6"/>
    </row>
    <row r="749" ht="15.75" customHeight="1">
      <c r="B749" s="6"/>
      <c r="C749" s="6"/>
      <c r="E749" s="10"/>
      <c r="G749" s="6"/>
      <c r="H749" s="6"/>
    </row>
    <row r="750" ht="15.75" customHeight="1">
      <c r="B750" s="6"/>
      <c r="C750" s="6"/>
      <c r="E750" s="10"/>
      <c r="G750" s="6"/>
      <c r="H750" s="6"/>
    </row>
    <row r="751" ht="15.75" customHeight="1">
      <c r="B751" s="6"/>
      <c r="C751" s="6"/>
      <c r="E751" s="10"/>
      <c r="G751" s="6"/>
      <c r="H751" s="6"/>
    </row>
    <row r="752" ht="15.75" customHeight="1">
      <c r="B752" s="6"/>
      <c r="C752" s="6"/>
      <c r="E752" s="10"/>
      <c r="G752" s="6"/>
      <c r="H752" s="6"/>
    </row>
    <row r="753" ht="15.75" customHeight="1">
      <c r="B753" s="6"/>
      <c r="C753" s="6"/>
      <c r="E753" s="10"/>
      <c r="G753" s="6"/>
      <c r="H753" s="6"/>
    </row>
    <row r="754" ht="15.75" customHeight="1">
      <c r="B754" s="6"/>
      <c r="C754" s="6"/>
      <c r="E754" s="10"/>
      <c r="G754" s="6"/>
      <c r="H754" s="6"/>
    </row>
    <row r="755" ht="15.75" customHeight="1">
      <c r="B755" s="6"/>
      <c r="C755" s="6"/>
      <c r="E755" s="10"/>
      <c r="G755" s="6"/>
      <c r="H755" s="6"/>
    </row>
    <row r="756" ht="15.75" customHeight="1">
      <c r="B756" s="6"/>
      <c r="C756" s="6"/>
      <c r="E756" s="10"/>
      <c r="G756" s="6"/>
      <c r="H756" s="6"/>
    </row>
    <row r="757" ht="15.75" customHeight="1">
      <c r="B757" s="6"/>
      <c r="C757" s="6"/>
      <c r="E757" s="10"/>
      <c r="G757" s="6"/>
      <c r="H757" s="6"/>
    </row>
    <row r="758" ht="15.75" customHeight="1">
      <c r="B758" s="6"/>
      <c r="C758" s="6"/>
      <c r="E758" s="10"/>
      <c r="G758" s="6"/>
      <c r="H758" s="6"/>
    </row>
    <row r="759" ht="15.75" customHeight="1">
      <c r="B759" s="6"/>
      <c r="C759" s="6"/>
      <c r="E759" s="10"/>
      <c r="G759" s="6"/>
      <c r="H759" s="6"/>
    </row>
    <row r="760" ht="15.75" customHeight="1">
      <c r="B760" s="6"/>
      <c r="C760" s="6"/>
      <c r="E760" s="10"/>
      <c r="G760" s="6"/>
      <c r="H760" s="6"/>
    </row>
    <row r="761" ht="15.75" customHeight="1">
      <c r="B761" s="6"/>
      <c r="C761" s="6"/>
      <c r="E761" s="10"/>
      <c r="G761" s="6"/>
      <c r="H761" s="6"/>
    </row>
    <row r="762" ht="15.75" customHeight="1">
      <c r="B762" s="6"/>
      <c r="C762" s="6"/>
      <c r="E762" s="10"/>
      <c r="G762" s="6"/>
      <c r="H762" s="6"/>
    </row>
    <row r="763" ht="15.75" customHeight="1">
      <c r="B763" s="6"/>
      <c r="C763" s="6"/>
      <c r="E763" s="10"/>
      <c r="G763" s="6"/>
      <c r="H763" s="6"/>
    </row>
    <row r="764" ht="15.75" customHeight="1">
      <c r="B764" s="6"/>
      <c r="C764" s="6"/>
      <c r="E764" s="10"/>
      <c r="G764" s="6"/>
      <c r="H764" s="6"/>
    </row>
    <row r="765" ht="15.75" customHeight="1">
      <c r="B765" s="6"/>
      <c r="C765" s="6"/>
      <c r="E765" s="10"/>
      <c r="G765" s="6"/>
      <c r="H765" s="6"/>
    </row>
    <row r="766" ht="15.75" customHeight="1">
      <c r="B766" s="6"/>
      <c r="C766" s="6"/>
      <c r="E766" s="10"/>
      <c r="G766" s="6"/>
      <c r="H766" s="6"/>
    </row>
    <row r="767" ht="15.75" customHeight="1">
      <c r="B767" s="6"/>
      <c r="C767" s="6"/>
      <c r="E767" s="10"/>
      <c r="G767" s="6"/>
      <c r="H767" s="6"/>
    </row>
    <row r="768" ht="15.75" customHeight="1">
      <c r="B768" s="6"/>
      <c r="C768" s="6"/>
      <c r="E768" s="10"/>
      <c r="G768" s="6"/>
      <c r="H768" s="6"/>
    </row>
    <row r="769" ht="15.75" customHeight="1">
      <c r="B769" s="6"/>
      <c r="C769" s="6"/>
      <c r="E769" s="10"/>
      <c r="G769" s="6"/>
      <c r="H769" s="6"/>
    </row>
    <row r="770" ht="15.75" customHeight="1">
      <c r="B770" s="6"/>
      <c r="C770" s="6"/>
      <c r="E770" s="10"/>
      <c r="G770" s="6"/>
      <c r="H770" s="6"/>
    </row>
    <row r="771" ht="15.75" customHeight="1">
      <c r="B771" s="6"/>
      <c r="C771" s="6"/>
      <c r="E771" s="10"/>
      <c r="G771" s="6"/>
      <c r="H771" s="6"/>
    </row>
    <row r="772" ht="15.75" customHeight="1">
      <c r="B772" s="6"/>
      <c r="C772" s="6"/>
      <c r="E772" s="10"/>
      <c r="G772" s="6"/>
      <c r="H772" s="6"/>
    </row>
    <row r="773" ht="15.75" customHeight="1">
      <c r="B773" s="6"/>
      <c r="C773" s="6"/>
      <c r="E773" s="10"/>
      <c r="G773" s="6"/>
      <c r="H773" s="6"/>
    </row>
    <row r="774" ht="15.75" customHeight="1">
      <c r="B774" s="6"/>
      <c r="C774" s="6"/>
      <c r="E774" s="10"/>
      <c r="G774" s="6"/>
      <c r="H774" s="6"/>
    </row>
    <row r="775" ht="15.75" customHeight="1">
      <c r="B775" s="6"/>
      <c r="C775" s="6"/>
      <c r="E775" s="10"/>
      <c r="G775" s="6"/>
      <c r="H775" s="6"/>
    </row>
    <row r="776" ht="15.75" customHeight="1">
      <c r="B776" s="6"/>
      <c r="C776" s="6"/>
      <c r="E776" s="10"/>
      <c r="G776" s="6"/>
      <c r="H776" s="6"/>
    </row>
    <row r="777" ht="15.75" customHeight="1">
      <c r="B777" s="6"/>
      <c r="C777" s="6"/>
      <c r="E777" s="10"/>
      <c r="G777" s="6"/>
      <c r="H777" s="6"/>
    </row>
    <row r="778" ht="15.75" customHeight="1">
      <c r="B778" s="6"/>
      <c r="C778" s="6"/>
      <c r="E778" s="10"/>
      <c r="G778" s="6"/>
      <c r="H778" s="6"/>
    </row>
    <row r="779" ht="15.75" customHeight="1">
      <c r="B779" s="6"/>
      <c r="C779" s="6"/>
      <c r="E779" s="10"/>
      <c r="G779" s="6"/>
      <c r="H779" s="6"/>
    </row>
    <row r="780" ht="15.75" customHeight="1">
      <c r="B780" s="6"/>
      <c r="C780" s="6"/>
      <c r="E780" s="10"/>
      <c r="G780" s="6"/>
      <c r="H780" s="6"/>
    </row>
    <row r="781" ht="15.75" customHeight="1">
      <c r="B781" s="6"/>
      <c r="C781" s="6"/>
      <c r="E781" s="10"/>
      <c r="G781" s="6"/>
      <c r="H781" s="6"/>
    </row>
    <row r="782" ht="15.75" customHeight="1">
      <c r="B782" s="6"/>
      <c r="C782" s="6"/>
      <c r="E782" s="10"/>
      <c r="G782" s="6"/>
      <c r="H782" s="6"/>
    </row>
    <row r="783" ht="15.75" customHeight="1">
      <c r="B783" s="6"/>
      <c r="C783" s="6"/>
      <c r="E783" s="10"/>
      <c r="G783" s="6"/>
      <c r="H783" s="6"/>
    </row>
    <row r="784" ht="15.75" customHeight="1">
      <c r="B784" s="6"/>
      <c r="C784" s="6"/>
      <c r="E784" s="10"/>
      <c r="G784" s="6"/>
      <c r="H784" s="6"/>
    </row>
    <row r="785" ht="15.75" customHeight="1">
      <c r="B785" s="6"/>
      <c r="C785" s="6"/>
      <c r="E785" s="10"/>
      <c r="G785" s="6"/>
      <c r="H785" s="6"/>
    </row>
    <row r="786" ht="15.75" customHeight="1">
      <c r="B786" s="6"/>
      <c r="C786" s="6"/>
      <c r="E786" s="10"/>
      <c r="G786" s="6"/>
      <c r="H786" s="6"/>
    </row>
    <row r="787" ht="15.75" customHeight="1">
      <c r="B787" s="6"/>
      <c r="C787" s="6"/>
      <c r="E787" s="10"/>
      <c r="G787" s="6"/>
      <c r="H787" s="6"/>
    </row>
    <row r="788" ht="15.75" customHeight="1">
      <c r="B788" s="6"/>
      <c r="C788" s="6"/>
      <c r="E788" s="10"/>
      <c r="G788" s="6"/>
      <c r="H788" s="6"/>
    </row>
    <row r="789" ht="15.75" customHeight="1">
      <c r="B789" s="6"/>
      <c r="C789" s="6"/>
      <c r="E789" s="10"/>
      <c r="G789" s="6"/>
      <c r="H789" s="6"/>
    </row>
    <row r="790" ht="15.75" customHeight="1">
      <c r="B790" s="6"/>
      <c r="C790" s="6"/>
      <c r="E790" s="10"/>
      <c r="G790" s="6"/>
      <c r="H790" s="6"/>
    </row>
    <row r="791" ht="15.75" customHeight="1">
      <c r="B791" s="6"/>
      <c r="C791" s="6"/>
      <c r="E791" s="10"/>
      <c r="G791" s="6"/>
      <c r="H791" s="6"/>
    </row>
    <row r="792" ht="15.75" customHeight="1">
      <c r="B792" s="6"/>
      <c r="C792" s="6"/>
      <c r="E792" s="10"/>
      <c r="G792" s="6"/>
      <c r="H792" s="6"/>
    </row>
    <row r="793" ht="15.75" customHeight="1">
      <c r="B793" s="6"/>
      <c r="C793" s="6"/>
      <c r="E793" s="10"/>
      <c r="G793" s="6"/>
      <c r="H793" s="6"/>
    </row>
    <row r="794" ht="15.75" customHeight="1">
      <c r="B794" s="6"/>
      <c r="C794" s="6"/>
      <c r="E794" s="10"/>
      <c r="G794" s="6"/>
      <c r="H794" s="6"/>
    </row>
    <row r="795" ht="15.75" customHeight="1">
      <c r="B795" s="6"/>
      <c r="C795" s="6"/>
      <c r="E795" s="10"/>
      <c r="G795" s="6"/>
      <c r="H795" s="6"/>
    </row>
    <row r="796" ht="15.75" customHeight="1">
      <c r="B796" s="6"/>
      <c r="C796" s="6"/>
      <c r="E796" s="10"/>
      <c r="G796" s="6"/>
      <c r="H796" s="6"/>
    </row>
    <row r="797" ht="15.75" customHeight="1">
      <c r="B797" s="6"/>
      <c r="C797" s="6"/>
      <c r="E797" s="10"/>
      <c r="G797" s="6"/>
      <c r="H797" s="6"/>
    </row>
    <row r="798" ht="15.75" customHeight="1">
      <c r="B798" s="6"/>
      <c r="C798" s="6"/>
      <c r="E798" s="10"/>
      <c r="G798" s="6"/>
      <c r="H798" s="6"/>
    </row>
    <row r="799" ht="15.75" customHeight="1">
      <c r="B799" s="6"/>
      <c r="C799" s="6"/>
      <c r="E799" s="10"/>
      <c r="G799" s="6"/>
      <c r="H799" s="6"/>
    </row>
    <row r="800" ht="15.75" customHeight="1">
      <c r="B800" s="6"/>
      <c r="C800" s="6"/>
      <c r="E800" s="10"/>
      <c r="G800" s="6"/>
      <c r="H800" s="6"/>
    </row>
    <row r="801" ht="15.75" customHeight="1">
      <c r="B801" s="6"/>
      <c r="C801" s="6"/>
      <c r="E801" s="10"/>
      <c r="G801" s="6"/>
      <c r="H801" s="6"/>
    </row>
    <row r="802" ht="15.75" customHeight="1">
      <c r="B802" s="6"/>
      <c r="C802" s="6"/>
      <c r="E802" s="10"/>
      <c r="G802" s="6"/>
      <c r="H802" s="6"/>
    </row>
    <row r="803" ht="15.75" customHeight="1">
      <c r="B803" s="6"/>
      <c r="C803" s="6"/>
      <c r="E803" s="10"/>
      <c r="G803" s="6"/>
      <c r="H803" s="6"/>
    </row>
    <row r="804" ht="15.75" customHeight="1">
      <c r="B804" s="6"/>
      <c r="C804" s="6"/>
      <c r="E804" s="10"/>
      <c r="G804" s="6"/>
      <c r="H804" s="6"/>
    </row>
    <row r="805" ht="15.75" customHeight="1">
      <c r="B805" s="6"/>
      <c r="C805" s="6"/>
      <c r="E805" s="10"/>
      <c r="G805" s="6"/>
      <c r="H805" s="6"/>
    </row>
    <row r="806" ht="15.75" customHeight="1">
      <c r="B806" s="6"/>
      <c r="C806" s="6"/>
      <c r="E806" s="10"/>
      <c r="G806" s="6"/>
      <c r="H806" s="6"/>
    </row>
    <row r="807" ht="15.75" customHeight="1">
      <c r="B807" s="6"/>
      <c r="C807" s="6"/>
      <c r="E807" s="10"/>
      <c r="G807" s="6"/>
      <c r="H807" s="6"/>
    </row>
    <row r="808" ht="15.75" customHeight="1">
      <c r="B808" s="6"/>
      <c r="C808" s="6"/>
      <c r="E808" s="10"/>
      <c r="G808" s="6"/>
      <c r="H808" s="6"/>
    </row>
    <row r="809" ht="15.75" customHeight="1">
      <c r="B809" s="6"/>
      <c r="C809" s="6"/>
      <c r="E809" s="10"/>
      <c r="G809" s="6"/>
      <c r="H809" s="6"/>
    </row>
    <row r="810" ht="15.75" customHeight="1">
      <c r="B810" s="6"/>
      <c r="C810" s="6"/>
      <c r="E810" s="10"/>
      <c r="G810" s="6"/>
      <c r="H810" s="6"/>
    </row>
    <row r="811" ht="15.75" customHeight="1">
      <c r="B811" s="6"/>
      <c r="C811" s="6"/>
      <c r="E811" s="10"/>
      <c r="G811" s="6"/>
      <c r="H811" s="6"/>
    </row>
    <row r="812" ht="15.75" customHeight="1">
      <c r="B812" s="6"/>
      <c r="C812" s="6"/>
      <c r="E812" s="10"/>
      <c r="G812" s="6"/>
      <c r="H812" s="6"/>
    </row>
    <row r="813" ht="15.75" customHeight="1">
      <c r="B813" s="6"/>
      <c r="C813" s="6"/>
      <c r="E813" s="10"/>
      <c r="G813" s="6"/>
      <c r="H813" s="6"/>
    </row>
    <row r="814" ht="15.75" customHeight="1">
      <c r="B814" s="6"/>
      <c r="C814" s="6"/>
      <c r="E814" s="10"/>
      <c r="G814" s="6"/>
      <c r="H814" s="6"/>
    </row>
    <row r="815" ht="15.75" customHeight="1">
      <c r="B815" s="6"/>
      <c r="C815" s="6"/>
      <c r="E815" s="10"/>
      <c r="G815" s="6"/>
      <c r="H815" s="6"/>
    </row>
    <row r="816" ht="15.75" customHeight="1">
      <c r="B816" s="6"/>
      <c r="C816" s="6"/>
      <c r="E816" s="10"/>
      <c r="G816" s="6"/>
      <c r="H816" s="6"/>
    </row>
    <row r="817" ht="15.75" customHeight="1">
      <c r="B817" s="6"/>
      <c r="C817" s="6"/>
      <c r="E817" s="10"/>
      <c r="G817" s="6"/>
      <c r="H817" s="6"/>
    </row>
    <row r="818" ht="15.75" customHeight="1">
      <c r="B818" s="6"/>
      <c r="C818" s="6"/>
      <c r="E818" s="10"/>
      <c r="G818" s="6"/>
      <c r="H818" s="6"/>
    </row>
    <row r="819" ht="15.75" customHeight="1">
      <c r="B819" s="6"/>
      <c r="C819" s="6"/>
      <c r="E819" s="10"/>
      <c r="G819" s="6"/>
      <c r="H819" s="6"/>
    </row>
    <row r="820" ht="15.75" customHeight="1">
      <c r="B820" s="6"/>
      <c r="C820" s="6"/>
      <c r="E820" s="10"/>
      <c r="G820" s="6"/>
      <c r="H820" s="6"/>
    </row>
    <row r="821" ht="15.75" customHeight="1">
      <c r="B821" s="6"/>
      <c r="C821" s="6"/>
      <c r="E821" s="10"/>
      <c r="G821" s="6"/>
      <c r="H821" s="6"/>
    </row>
    <row r="822" ht="15.75" customHeight="1">
      <c r="B822" s="6"/>
      <c r="C822" s="6"/>
      <c r="E822" s="10"/>
      <c r="G822" s="6"/>
      <c r="H822" s="6"/>
    </row>
    <row r="823" ht="15.75" customHeight="1">
      <c r="B823" s="6"/>
      <c r="C823" s="6"/>
      <c r="E823" s="10"/>
      <c r="G823" s="6"/>
      <c r="H823" s="6"/>
    </row>
    <row r="824" ht="15.75" customHeight="1">
      <c r="B824" s="6"/>
      <c r="C824" s="6"/>
      <c r="E824" s="10"/>
      <c r="G824" s="6"/>
      <c r="H824" s="6"/>
    </row>
    <row r="825" ht="15.75" customHeight="1">
      <c r="B825" s="6"/>
      <c r="C825" s="6"/>
      <c r="E825" s="10"/>
      <c r="G825" s="6"/>
      <c r="H825" s="6"/>
    </row>
    <row r="826" ht="15.75" customHeight="1">
      <c r="B826" s="6"/>
      <c r="C826" s="6"/>
      <c r="E826" s="10"/>
      <c r="G826" s="6"/>
      <c r="H826" s="6"/>
    </row>
    <row r="827" ht="15.75" customHeight="1">
      <c r="B827" s="6"/>
      <c r="C827" s="6"/>
      <c r="E827" s="10"/>
      <c r="G827" s="6"/>
      <c r="H827" s="6"/>
    </row>
    <row r="828" ht="15.75" customHeight="1">
      <c r="B828" s="6"/>
      <c r="C828" s="6"/>
      <c r="E828" s="10"/>
      <c r="G828" s="6"/>
      <c r="H828" s="6"/>
    </row>
    <row r="829" ht="15.75" customHeight="1">
      <c r="B829" s="6"/>
      <c r="C829" s="6"/>
      <c r="E829" s="10"/>
      <c r="G829" s="6"/>
      <c r="H829" s="6"/>
    </row>
    <row r="830" ht="15.75" customHeight="1">
      <c r="B830" s="6"/>
      <c r="C830" s="6"/>
      <c r="E830" s="10"/>
      <c r="G830" s="6"/>
      <c r="H830" s="6"/>
    </row>
    <row r="831" ht="15.75" customHeight="1">
      <c r="B831" s="6"/>
      <c r="C831" s="6"/>
      <c r="E831" s="10"/>
      <c r="G831" s="6"/>
      <c r="H831" s="6"/>
    </row>
    <row r="832" ht="15.75" customHeight="1">
      <c r="B832" s="6"/>
      <c r="C832" s="6"/>
      <c r="E832" s="10"/>
      <c r="G832" s="6"/>
      <c r="H832" s="6"/>
    </row>
    <row r="833" ht="15.75" customHeight="1">
      <c r="B833" s="6"/>
      <c r="C833" s="6"/>
      <c r="E833" s="10"/>
      <c r="G833" s="6"/>
      <c r="H833" s="6"/>
    </row>
    <row r="834" ht="15.75" customHeight="1">
      <c r="B834" s="6"/>
      <c r="C834" s="6"/>
      <c r="E834" s="10"/>
      <c r="G834" s="6"/>
      <c r="H834" s="6"/>
    </row>
    <row r="835" ht="15.75" customHeight="1">
      <c r="B835" s="6"/>
      <c r="C835" s="6"/>
      <c r="E835" s="10"/>
      <c r="G835" s="6"/>
      <c r="H835" s="6"/>
    </row>
    <row r="836" ht="15.75" customHeight="1">
      <c r="B836" s="6"/>
      <c r="C836" s="6"/>
      <c r="E836" s="10"/>
      <c r="G836" s="6"/>
      <c r="H836" s="6"/>
    </row>
    <row r="837" ht="15.75" customHeight="1">
      <c r="B837" s="6"/>
      <c r="C837" s="6"/>
      <c r="E837" s="10"/>
      <c r="G837" s="6"/>
      <c r="H837" s="6"/>
    </row>
    <row r="838" ht="15.75" customHeight="1">
      <c r="B838" s="6"/>
      <c r="C838" s="6"/>
      <c r="E838" s="10"/>
      <c r="G838" s="6"/>
      <c r="H838" s="6"/>
    </row>
    <row r="839" ht="15.75" customHeight="1">
      <c r="B839" s="6"/>
      <c r="C839" s="6"/>
      <c r="E839" s="10"/>
      <c r="G839" s="6"/>
      <c r="H839" s="6"/>
    </row>
    <row r="840" ht="15.75" customHeight="1">
      <c r="B840" s="6"/>
      <c r="C840" s="6"/>
      <c r="E840" s="10"/>
      <c r="G840" s="6"/>
      <c r="H840" s="6"/>
    </row>
    <row r="841" ht="15.75" customHeight="1">
      <c r="B841" s="6"/>
      <c r="C841" s="6"/>
      <c r="E841" s="10"/>
      <c r="G841" s="6"/>
      <c r="H841" s="6"/>
    </row>
    <row r="842" ht="15.75" customHeight="1">
      <c r="B842" s="6"/>
      <c r="C842" s="6"/>
      <c r="E842" s="10"/>
      <c r="G842" s="6"/>
      <c r="H842" s="6"/>
    </row>
    <row r="843" ht="15.75" customHeight="1">
      <c r="B843" s="6"/>
      <c r="C843" s="6"/>
      <c r="E843" s="10"/>
      <c r="G843" s="6"/>
      <c r="H843" s="6"/>
    </row>
    <row r="844" ht="15.75" customHeight="1">
      <c r="B844" s="6"/>
      <c r="C844" s="6"/>
      <c r="E844" s="10"/>
      <c r="G844" s="6"/>
      <c r="H844" s="6"/>
    </row>
    <row r="845" ht="15.75" customHeight="1">
      <c r="B845" s="6"/>
      <c r="C845" s="6"/>
      <c r="E845" s="10"/>
      <c r="G845" s="6"/>
      <c r="H845" s="6"/>
    </row>
    <row r="846" ht="15.75" customHeight="1">
      <c r="B846" s="6"/>
      <c r="C846" s="6"/>
      <c r="E846" s="10"/>
      <c r="G846" s="6"/>
      <c r="H846" s="6"/>
    </row>
    <row r="847" ht="15.75" customHeight="1">
      <c r="B847" s="6"/>
      <c r="C847" s="6"/>
      <c r="E847" s="10"/>
      <c r="G847" s="6"/>
      <c r="H847" s="6"/>
    </row>
    <row r="848" ht="15.75" customHeight="1">
      <c r="B848" s="6"/>
      <c r="C848" s="6"/>
      <c r="E848" s="10"/>
      <c r="G848" s="6"/>
      <c r="H848" s="6"/>
    </row>
    <row r="849" ht="15.75" customHeight="1">
      <c r="B849" s="6"/>
      <c r="C849" s="6"/>
      <c r="E849" s="10"/>
      <c r="G849" s="6"/>
      <c r="H849" s="6"/>
    </row>
    <row r="850" ht="15.75" customHeight="1">
      <c r="B850" s="6"/>
      <c r="C850" s="6"/>
      <c r="E850" s="10"/>
      <c r="G850" s="6"/>
      <c r="H850" s="6"/>
    </row>
    <row r="851" ht="15.75" customHeight="1">
      <c r="B851" s="6"/>
      <c r="C851" s="6"/>
      <c r="E851" s="10"/>
      <c r="G851" s="6"/>
      <c r="H851" s="6"/>
    </row>
    <row r="852" ht="15.75" customHeight="1">
      <c r="B852" s="6"/>
      <c r="C852" s="6"/>
      <c r="E852" s="10"/>
      <c r="G852" s="6"/>
      <c r="H852" s="6"/>
    </row>
    <row r="853" ht="15.75" customHeight="1">
      <c r="B853" s="6"/>
      <c r="C853" s="6"/>
      <c r="E853" s="10"/>
      <c r="G853" s="6"/>
      <c r="H853" s="6"/>
    </row>
    <row r="854" ht="15.75" customHeight="1">
      <c r="B854" s="6"/>
      <c r="C854" s="6"/>
      <c r="E854" s="10"/>
      <c r="G854" s="6"/>
      <c r="H854" s="6"/>
    </row>
    <row r="855" ht="15.75" customHeight="1">
      <c r="B855" s="6"/>
      <c r="C855" s="6"/>
      <c r="E855" s="10"/>
      <c r="G855" s="6"/>
      <c r="H855" s="6"/>
    </row>
    <row r="856" ht="15.75" customHeight="1">
      <c r="B856" s="6"/>
      <c r="C856" s="6"/>
      <c r="E856" s="10"/>
      <c r="G856" s="6"/>
      <c r="H856" s="6"/>
    </row>
    <row r="857" ht="15.75" customHeight="1">
      <c r="B857" s="6"/>
      <c r="C857" s="6"/>
      <c r="E857" s="10"/>
      <c r="G857" s="6"/>
      <c r="H857" s="6"/>
    </row>
    <row r="858" ht="15.75" customHeight="1">
      <c r="B858" s="6"/>
      <c r="C858" s="6"/>
      <c r="E858" s="10"/>
      <c r="G858" s="6"/>
      <c r="H858" s="6"/>
    </row>
    <row r="859" ht="15.75" customHeight="1">
      <c r="B859" s="6"/>
      <c r="C859" s="6"/>
      <c r="E859" s="10"/>
      <c r="G859" s="6"/>
      <c r="H859" s="6"/>
    </row>
    <row r="860" ht="15.75" customHeight="1">
      <c r="B860" s="6"/>
      <c r="C860" s="6"/>
      <c r="E860" s="10"/>
      <c r="G860" s="6"/>
      <c r="H860" s="6"/>
    </row>
    <row r="861" ht="15.75" customHeight="1">
      <c r="B861" s="6"/>
      <c r="C861" s="6"/>
      <c r="E861" s="10"/>
      <c r="G861" s="6"/>
      <c r="H861" s="6"/>
    </row>
    <row r="862" ht="15.75" customHeight="1">
      <c r="B862" s="6"/>
      <c r="C862" s="6"/>
      <c r="E862" s="10"/>
      <c r="G862" s="6"/>
      <c r="H862" s="6"/>
    </row>
    <row r="863" ht="15.75" customHeight="1">
      <c r="B863" s="6"/>
      <c r="C863" s="6"/>
      <c r="E863" s="10"/>
      <c r="G863" s="6"/>
      <c r="H863" s="6"/>
    </row>
    <row r="864" ht="15.75" customHeight="1">
      <c r="B864" s="6"/>
      <c r="C864" s="6"/>
      <c r="E864" s="10"/>
      <c r="G864" s="6"/>
      <c r="H864" s="6"/>
    </row>
    <row r="865" ht="15.75" customHeight="1">
      <c r="B865" s="6"/>
      <c r="C865" s="6"/>
      <c r="E865" s="10"/>
      <c r="G865" s="6"/>
      <c r="H865" s="6"/>
    </row>
    <row r="866" ht="15.75" customHeight="1">
      <c r="B866" s="6"/>
      <c r="C866" s="6"/>
      <c r="E866" s="10"/>
      <c r="G866" s="6"/>
      <c r="H866" s="6"/>
    </row>
    <row r="867" ht="15.75" customHeight="1">
      <c r="B867" s="6"/>
      <c r="C867" s="6"/>
      <c r="E867" s="10"/>
      <c r="G867" s="6"/>
      <c r="H867" s="6"/>
    </row>
    <row r="868" ht="15.75" customHeight="1">
      <c r="B868" s="6"/>
      <c r="C868" s="6"/>
      <c r="E868" s="10"/>
      <c r="G868" s="6"/>
      <c r="H868" s="6"/>
    </row>
    <row r="869" ht="15.75" customHeight="1">
      <c r="B869" s="6"/>
      <c r="C869" s="6"/>
      <c r="E869" s="10"/>
      <c r="G869" s="6"/>
      <c r="H869" s="6"/>
    </row>
    <row r="870" ht="15.75" customHeight="1">
      <c r="B870" s="6"/>
      <c r="C870" s="6"/>
      <c r="E870" s="10"/>
      <c r="G870" s="6"/>
      <c r="H870" s="6"/>
    </row>
    <row r="871" ht="15.75" customHeight="1">
      <c r="B871" s="6"/>
      <c r="C871" s="6"/>
      <c r="E871" s="10"/>
      <c r="G871" s="6"/>
      <c r="H871" s="6"/>
    </row>
    <row r="872" ht="15.75" customHeight="1">
      <c r="B872" s="6"/>
      <c r="C872" s="6"/>
      <c r="E872" s="10"/>
      <c r="G872" s="6"/>
      <c r="H872" s="6"/>
    </row>
    <row r="873" ht="15.75" customHeight="1">
      <c r="B873" s="6"/>
      <c r="C873" s="6"/>
      <c r="E873" s="10"/>
      <c r="G873" s="6"/>
      <c r="H873" s="6"/>
    </row>
    <row r="874" ht="15.75" customHeight="1">
      <c r="B874" s="6"/>
      <c r="C874" s="6"/>
      <c r="E874" s="10"/>
      <c r="G874" s="6"/>
      <c r="H874" s="6"/>
    </row>
    <row r="875" ht="15.75" customHeight="1">
      <c r="B875" s="6"/>
      <c r="C875" s="6"/>
      <c r="E875" s="10"/>
      <c r="G875" s="6"/>
      <c r="H875" s="6"/>
    </row>
    <row r="876" ht="15.75" customHeight="1">
      <c r="B876" s="6"/>
      <c r="C876" s="6"/>
      <c r="E876" s="10"/>
      <c r="G876" s="6"/>
      <c r="H876" s="6"/>
    </row>
    <row r="877" ht="15.75" customHeight="1">
      <c r="B877" s="6"/>
      <c r="C877" s="6"/>
      <c r="E877" s="10"/>
      <c r="G877" s="6"/>
      <c r="H877" s="6"/>
    </row>
    <row r="878" ht="15.75" customHeight="1">
      <c r="B878" s="6"/>
      <c r="C878" s="6"/>
      <c r="E878" s="10"/>
      <c r="G878" s="6"/>
      <c r="H878" s="6"/>
    </row>
    <row r="879" ht="15.75" customHeight="1">
      <c r="B879" s="6"/>
      <c r="C879" s="6"/>
      <c r="E879" s="10"/>
      <c r="G879" s="6"/>
      <c r="H879" s="6"/>
    </row>
    <row r="880" ht="15.75" customHeight="1">
      <c r="B880" s="6"/>
      <c r="C880" s="6"/>
      <c r="E880" s="10"/>
      <c r="G880" s="6"/>
      <c r="H880" s="6"/>
    </row>
    <row r="881" ht="15.75" customHeight="1">
      <c r="B881" s="6"/>
      <c r="C881" s="6"/>
      <c r="E881" s="10"/>
      <c r="G881" s="6"/>
      <c r="H881" s="6"/>
    </row>
    <row r="882" ht="15.75" customHeight="1">
      <c r="B882" s="6"/>
      <c r="C882" s="6"/>
      <c r="E882" s="10"/>
      <c r="G882" s="6"/>
      <c r="H882" s="6"/>
    </row>
    <row r="883" ht="15.75" customHeight="1">
      <c r="B883" s="6"/>
      <c r="C883" s="6"/>
      <c r="E883" s="10"/>
      <c r="G883" s="6"/>
      <c r="H883" s="6"/>
    </row>
    <row r="884" ht="15.75" customHeight="1">
      <c r="B884" s="6"/>
      <c r="C884" s="6"/>
      <c r="E884" s="10"/>
      <c r="G884" s="6"/>
      <c r="H884" s="6"/>
    </row>
    <row r="885" ht="15.75" customHeight="1">
      <c r="B885" s="6"/>
      <c r="C885" s="6"/>
      <c r="E885" s="10"/>
      <c r="G885" s="6"/>
      <c r="H885" s="6"/>
    </row>
    <row r="886" ht="15.75" customHeight="1">
      <c r="B886" s="6"/>
      <c r="C886" s="6"/>
      <c r="E886" s="10"/>
      <c r="G886" s="6"/>
      <c r="H886" s="6"/>
    </row>
    <row r="887" ht="15.75" customHeight="1">
      <c r="B887" s="6"/>
      <c r="C887" s="6"/>
      <c r="E887" s="10"/>
      <c r="G887" s="6"/>
      <c r="H887" s="6"/>
    </row>
    <row r="888" ht="15.75" customHeight="1">
      <c r="B888" s="6"/>
      <c r="C888" s="6"/>
      <c r="E888" s="10"/>
      <c r="G888" s="6"/>
      <c r="H888" s="6"/>
    </row>
    <row r="889" ht="15.75" customHeight="1">
      <c r="B889" s="6"/>
      <c r="C889" s="6"/>
      <c r="E889" s="10"/>
      <c r="G889" s="6"/>
      <c r="H889" s="6"/>
    </row>
    <row r="890" ht="15.75" customHeight="1">
      <c r="B890" s="6"/>
      <c r="C890" s="6"/>
      <c r="E890" s="10"/>
      <c r="G890" s="6"/>
      <c r="H890" s="6"/>
    </row>
    <row r="891" ht="15.75" customHeight="1">
      <c r="B891" s="6"/>
      <c r="C891" s="6"/>
      <c r="E891" s="10"/>
      <c r="G891" s="6"/>
      <c r="H891" s="6"/>
    </row>
    <row r="892" ht="15.75" customHeight="1">
      <c r="B892" s="6"/>
      <c r="C892" s="6"/>
      <c r="E892" s="10"/>
      <c r="G892" s="6"/>
      <c r="H892" s="6"/>
    </row>
    <row r="893" ht="15.75" customHeight="1">
      <c r="B893" s="6"/>
      <c r="C893" s="6"/>
      <c r="E893" s="10"/>
      <c r="G893" s="6"/>
      <c r="H893" s="6"/>
    </row>
    <row r="894" ht="15.75" customHeight="1">
      <c r="B894" s="6"/>
      <c r="C894" s="6"/>
      <c r="E894" s="10"/>
      <c r="G894" s="6"/>
      <c r="H894" s="6"/>
    </row>
    <row r="895" ht="15.75" customHeight="1">
      <c r="B895" s="6"/>
      <c r="C895" s="6"/>
      <c r="E895" s="10"/>
      <c r="G895" s="6"/>
      <c r="H895" s="6"/>
    </row>
    <row r="896" ht="15.75" customHeight="1">
      <c r="B896" s="6"/>
      <c r="C896" s="6"/>
      <c r="E896" s="10"/>
      <c r="G896" s="6"/>
      <c r="H896" s="6"/>
    </row>
    <row r="897" ht="15.75" customHeight="1">
      <c r="B897" s="6"/>
      <c r="C897" s="6"/>
      <c r="E897" s="10"/>
      <c r="G897" s="6"/>
      <c r="H897" s="6"/>
    </row>
    <row r="898" ht="15.75" customHeight="1">
      <c r="B898" s="6"/>
      <c r="C898" s="6"/>
      <c r="E898" s="10"/>
      <c r="G898" s="6"/>
      <c r="H898" s="6"/>
    </row>
    <row r="899" ht="15.75" customHeight="1">
      <c r="B899" s="6"/>
      <c r="C899" s="6"/>
      <c r="E899" s="10"/>
      <c r="G899" s="6"/>
      <c r="H899" s="6"/>
    </row>
    <row r="900" ht="15.75" customHeight="1">
      <c r="B900" s="6"/>
      <c r="C900" s="6"/>
      <c r="E900" s="10"/>
      <c r="G900" s="6"/>
      <c r="H900" s="6"/>
    </row>
    <row r="901" ht="15.75" customHeight="1">
      <c r="B901" s="6"/>
      <c r="C901" s="6"/>
      <c r="E901" s="10"/>
      <c r="G901" s="6"/>
      <c r="H901" s="6"/>
    </row>
    <row r="902" ht="15.75" customHeight="1">
      <c r="B902" s="6"/>
      <c r="C902" s="6"/>
      <c r="E902" s="10"/>
      <c r="G902" s="6"/>
      <c r="H902" s="6"/>
    </row>
    <row r="903" ht="15.75" customHeight="1">
      <c r="B903" s="6"/>
      <c r="C903" s="6"/>
      <c r="E903" s="10"/>
      <c r="G903" s="6"/>
      <c r="H903" s="6"/>
    </row>
    <row r="904" ht="15.75" customHeight="1">
      <c r="B904" s="6"/>
      <c r="C904" s="6"/>
      <c r="E904" s="10"/>
      <c r="G904" s="6"/>
      <c r="H904" s="6"/>
    </row>
    <row r="905" ht="15.75" customHeight="1">
      <c r="B905" s="6"/>
      <c r="C905" s="6"/>
      <c r="E905" s="10"/>
      <c r="G905" s="6"/>
      <c r="H905" s="6"/>
    </row>
    <row r="906" ht="15.75" customHeight="1">
      <c r="B906" s="6"/>
      <c r="C906" s="6"/>
      <c r="E906" s="10"/>
      <c r="G906" s="6"/>
      <c r="H906" s="6"/>
    </row>
    <row r="907" ht="15.75" customHeight="1">
      <c r="B907" s="6"/>
      <c r="C907" s="6"/>
      <c r="E907" s="10"/>
      <c r="G907" s="6"/>
      <c r="H907" s="6"/>
    </row>
    <row r="908" ht="15.75" customHeight="1">
      <c r="B908" s="6"/>
      <c r="C908" s="6"/>
      <c r="E908" s="10"/>
      <c r="G908" s="6"/>
      <c r="H908" s="6"/>
    </row>
    <row r="909" ht="15.75" customHeight="1">
      <c r="B909" s="6"/>
      <c r="C909" s="6"/>
      <c r="E909" s="10"/>
      <c r="G909" s="6"/>
      <c r="H909" s="6"/>
    </row>
    <row r="910" ht="15.75" customHeight="1">
      <c r="B910" s="6"/>
      <c r="C910" s="6"/>
      <c r="E910" s="10"/>
      <c r="G910" s="6"/>
      <c r="H910" s="6"/>
    </row>
    <row r="911" ht="15.75" customHeight="1">
      <c r="B911" s="6"/>
      <c r="C911" s="6"/>
      <c r="E911" s="10"/>
      <c r="G911" s="6"/>
      <c r="H911" s="6"/>
    </row>
    <row r="912" ht="15.75" customHeight="1">
      <c r="B912" s="6"/>
      <c r="C912" s="6"/>
      <c r="E912" s="10"/>
      <c r="G912" s="6"/>
      <c r="H912" s="6"/>
    </row>
    <row r="913" ht="15.75" customHeight="1">
      <c r="B913" s="6"/>
      <c r="C913" s="6"/>
      <c r="E913" s="10"/>
      <c r="G913" s="6"/>
      <c r="H913" s="6"/>
    </row>
    <row r="914" ht="15.75" customHeight="1">
      <c r="B914" s="6"/>
      <c r="C914" s="6"/>
      <c r="E914" s="10"/>
      <c r="G914" s="6"/>
      <c r="H914" s="6"/>
    </row>
    <row r="915" ht="15.75" customHeight="1">
      <c r="B915" s="6"/>
      <c r="C915" s="6"/>
      <c r="E915" s="10"/>
      <c r="G915" s="6"/>
      <c r="H915" s="6"/>
    </row>
    <row r="916" ht="15.75" customHeight="1">
      <c r="B916" s="6"/>
      <c r="C916" s="6"/>
      <c r="E916" s="10"/>
      <c r="G916" s="6"/>
      <c r="H916" s="6"/>
    </row>
    <row r="917" ht="15.75" customHeight="1">
      <c r="B917" s="6"/>
      <c r="C917" s="6"/>
      <c r="E917" s="10"/>
      <c r="G917" s="6"/>
      <c r="H917" s="6"/>
    </row>
    <row r="918" ht="15.75" customHeight="1">
      <c r="B918" s="6"/>
      <c r="C918" s="6"/>
      <c r="E918" s="10"/>
      <c r="G918" s="6"/>
      <c r="H918" s="6"/>
    </row>
    <row r="919" ht="15.75" customHeight="1">
      <c r="B919" s="6"/>
      <c r="C919" s="6"/>
      <c r="E919" s="10"/>
      <c r="G919" s="6"/>
      <c r="H919" s="6"/>
    </row>
    <row r="920" ht="15.75" customHeight="1">
      <c r="B920" s="6"/>
      <c r="C920" s="6"/>
      <c r="E920" s="10"/>
      <c r="G920" s="6"/>
      <c r="H920" s="6"/>
    </row>
    <row r="921" ht="15.75" customHeight="1">
      <c r="B921" s="6"/>
      <c r="C921" s="6"/>
      <c r="E921" s="10"/>
      <c r="G921" s="6"/>
      <c r="H921" s="6"/>
    </row>
    <row r="922" ht="15.75" customHeight="1">
      <c r="B922" s="6"/>
      <c r="C922" s="6"/>
      <c r="E922" s="10"/>
      <c r="G922" s="6"/>
      <c r="H922" s="6"/>
    </row>
    <row r="923" ht="15.75" customHeight="1">
      <c r="B923" s="6"/>
      <c r="C923" s="6"/>
      <c r="E923" s="10"/>
      <c r="G923" s="6"/>
      <c r="H923" s="6"/>
    </row>
    <row r="924" ht="15.75" customHeight="1">
      <c r="B924" s="6"/>
      <c r="C924" s="6"/>
      <c r="E924" s="10"/>
      <c r="G924" s="6"/>
      <c r="H924" s="6"/>
    </row>
    <row r="925" ht="15.75" customHeight="1">
      <c r="B925" s="6"/>
      <c r="C925" s="6"/>
      <c r="E925" s="10"/>
      <c r="G925" s="6"/>
      <c r="H925" s="6"/>
    </row>
    <row r="926" ht="15.75" customHeight="1">
      <c r="B926" s="6"/>
      <c r="C926" s="6"/>
      <c r="E926" s="10"/>
      <c r="G926" s="6"/>
      <c r="H926" s="6"/>
    </row>
    <row r="927" ht="15.75" customHeight="1">
      <c r="B927" s="6"/>
      <c r="C927" s="6"/>
      <c r="E927" s="10"/>
      <c r="G927" s="6"/>
      <c r="H927" s="6"/>
    </row>
    <row r="928" ht="15.75" customHeight="1">
      <c r="B928" s="6"/>
      <c r="C928" s="6"/>
      <c r="E928" s="10"/>
      <c r="G928" s="6"/>
      <c r="H928" s="6"/>
    </row>
    <row r="929" ht="15.75" customHeight="1">
      <c r="B929" s="6"/>
      <c r="C929" s="6"/>
      <c r="E929" s="10"/>
      <c r="G929" s="6"/>
      <c r="H929" s="6"/>
    </row>
    <row r="930" ht="15.75" customHeight="1">
      <c r="B930" s="6"/>
      <c r="C930" s="6"/>
      <c r="E930" s="10"/>
      <c r="G930" s="6"/>
      <c r="H930" s="6"/>
    </row>
    <row r="931" ht="15.75" customHeight="1">
      <c r="B931" s="6"/>
      <c r="C931" s="6"/>
      <c r="E931" s="10"/>
      <c r="G931" s="6"/>
      <c r="H931" s="6"/>
    </row>
    <row r="932" ht="15.75" customHeight="1">
      <c r="B932" s="6"/>
      <c r="C932" s="6"/>
      <c r="E932" s="10"/>
      <c r="G932" s="6"/>
      <c r="H932" s="6"/>
    </row>
    <row r="933" ht="15.75" customHeight="1">
      <c r="B933" s="6"/>
      <c r="C933" s="6"/>
      <c r="E933" s="10"/>
      <c r="G933" s="6"/>
      <c r="H933" s="6"/>
    </row>
    <row r="934" ht="15.75" customHeight="1">
      <c r="B934" s="6"/>
      <c r="C934" s="6"/>
      <c r="E934" s="10"/>
      <c r="G934" s="6"/>
      <c r="H934" s="6"/>
    </row>
    <row r="935" ht="15.75" customHeight="1">
      <c r="B935" s="6"/>
      <c r="C935" s="6"/>
      <c r="E935" s="10"/>
      <c r="G935" s="6"/>
      <c r="H935" s="6"/>
    </row>
    <row r="936" ht="15.75" customHeight="1">
      <c r="B936" s="6"/>
      <c r="C936" s="6"/>
      <c r="E936" s="10"/>
      <c r="G936" s="6"/>
      <c r="H936" s="6"/>
    </row>
    <row r="937" ht="15.75" customHeight="1">
      <c r="B937" s="6"/>
      <c r="C937" s="6"/>
      <c r="E937" s="10"/>
      <c r="G937" s="6"/>
      <c r="H937" s="6"/>
    </row>
    <row r="938" ht="15.75" customHeight="1">
      <c r="B938" s="6"/>
      <c r="C938" s="6"/>
      <c r="E938" s="10"/>
      <c r="G938" s="6"/>
      <c r="H938" s="6"/>
    </row>
    <row r="939" ht="15.75" customHeight="1">
      <c r="B939" s="6"/>
      <c r="C939" s="6"/>
      <c r="E939" s="10"/>
      <c r="G939" s="6"/>
      <c r="H939" s="6"/>
    </row>
    <row r="940" ht="15.75" customHeight="1">
      <c r="B940" s="6"/>
      <c r="C940" s="6"/>
      <c r="E940" s="10"/>
      <c r="G940" s="6"/>
      <c r="H940" s="6"/>
    </row>
    <row r="941" ht="15.75" customHeight="1">
      <c r="B941" s="6"/>
      <c r="C941" s="6"/>
      <c r="E941" s="10"/>
      <c r="G941" s="6"/>
      <c r="H941" s="6"/>
    </row>
    <row r="942" ht="15.75" customHeight="1">
      <c r="B942" s="6"/>
      <c r="C942" s="6"/>
      <c r="E942" s="10"/>
      <c r="G942" s="6"/>
      <c r="H942" s="6"/>
    </row>
    <row r="943" ht="15.75" customHeight="1">
      <c r="B943" s="6"/>
      <c r="C943" s="6"/>
      <c r="E943" s="10"/>
      <c r="G943" s="6"/>
      <c r="H943" s="6"/>
    </row>
    <row r="944" ht="15.75" customHeight="1">
      <c r="B944" s="6"/>
      <c r="C944" s="6"/>
      <c r="E944" s="10"/>
      <c r="G944" s="6"/>
      <c r="H944" s="6"/>
    </row>
    <row r="945" ht="15.75" customHeight="1">
      <c r="B945" s="6"/>
      <c r="C945" s="6"/>
      <c r="E945" s="10"/>
      <c r="G945" s="6"/>
      <c r="H945" s="6"/>
    </row>
    <row r="946" ht="15.75" customHeight="1">
      <c r="B946" s="6"/>
      <c r="C946" s="6"/>
      <c r="E946" s="10"/>
      <c r="G946" s="6"/>
      <c r="H946" s="6"/>
    </row>
    <row r="947" ht="15.75" customHeight="1">
      <c r="B947" s="6"/>
      <c r="C947" s="6"/>
      <c r="E947" s="10"/>
      <c r="G947" s="6"/>
      <c r="H947" s="6"/>
    </row>
    <row r="948" ht="15.75" customHeight="1">
      <c r="B948" s="6"/>
      <c r="C948" s="6"/>
      <c r="E948" s="10"/>
      <c r="G948" s="6"/>
      <c r="H948" s="6"/>
    </row>
    <row r="949" ht="15.75" customHeight="1">
      <c r="B949" s="6"/>
      <c r="C949" s="6"/>
      <c r="E949" s="10"/>
      <c r="G949" s="6"/>
      <c r="H949" s="6"/>
    </row>
    <row r="950" ht="15.75" customHeight="1">
      <c r="B950" s="6"/>
      <c r="C950" s="6"/>
      <c r="E950" s="10"/>
      <c r="G950" s="6"/>
      <c r="H950" s="6"/>
    </row>
    <row r="951" ht="15.75" customHeight="1">
      <c r="B951" s="6"/>
      <c r="C951" s="6"/>
      <c r="E951" s="10"/>
      <c r="G951" s="6"/>
      <c r="H951" s="6"/>
    </row>
    <row r="952" ht="15.75" customHeight="1">
      <c r="B952" s="6"/>
      <c r="C952" s="6"/>
      <c r="E952" s="10"/>
      <c r="G952" s="6"/>
      <c r="H952" s="6"/>
    </row>
    <row r="953" ht="15.75" customHeight="1">
      <c r="B953" s="6"/>
      <c r="C953" s="6"/>
      <c r="E953" s="10"/>
      <c r="G953" s="6"/>
      <c r="H953" s="6"/>
    </row>
    <row r="954" ht="15.75" customHeight="1">
      <c r="B954" s="6"/>
      <c r="C954" s="6"/>
      <c r="E954" s="10"/>
      <c r="G954" s="6"/>
      <c r="H954" s="6"/>
    </row>
    <row r="955" ht="15.75" customHeight="1">
      <c r="B955" s="6"/>
      <c r="C955" s="6"/>
      <c r="E955" s="10"/>
      <c r="G955" s="6"/>
      <c r="H955" s="6"/>
    </row>
    <row r="956" ht="15.75" customHeight="1">
      <c r="B956" s="6"/>
      <c r="C956" s="6"/>
      <c r="E956" s="10"/>
      <c r="G956" s="6"/>
      <c r="H956" s="6"/>
    </row>
    <row r="957" ht="15.75" customHeight="1">
      <c r="B957" s="6"/>
      <c r="C957" s="6"/>
      <c r="E957" s="10"/>
      <c r="G957" s="6"/>
      <c r="H957" s="6"/>
    </row>
    <row r="958" ht="15.75" customHeight="1">
      <c r="B958" s="6"/>
      <c r="C958" s="6"/>
      <c r="E958" s="10"/>
      <c r="G958" s="6"/>
      <c r="H958" s="6"/>
    </row>
    <row r="959" ht="15.75" customHeight="1">
      <c r="B959" s="6"/>
      <c r="C959" s="6"/>
      <c r="E959" s="10"/>
      <c r="G959" s="6"/>
      <c r="H959" s="6"/>
    </row>
    <row r="960" ht="15.75" customHeight="1">
      <c r="B960" s="6"/>
      <c r="C960" s="6"/>
      <c r="E960" s="10"/>
      <c r="G960" s="6"/>
      <c r="H960" s="6"/>
    </row>
    <row r="961" ht="15.75" customHeight="1">
      <c r="B961" s="6"/>
      <c r="C961" s="6"/>
      <c r="E961" s="10"/>
      <c r="G961" s="6"/>
      <c r="H961" s="6"/>
    </row>
    <row r="962" ht="15.75" customHeight="1">
      <c r="B962" s="6"/>
      <c r="C962" s="6"/>
      <c r="E962" s="10"/>
      <c r="G962" s="6"/>
      <c r="H962" s="6"/>
    </row>
    <row r="963" ht="15.75" customHeight="1">
      <c r="B963" s="6"/>
      <c r="C963" s="6"/>
      <c r="E963" s="10"/>
      <c r="G963" s="6"/>
      <c r="H963" s="6"/>
    </row>
    <row r="964" ht="15.75" customHeight="1">
      <c r="B964" s="6"/>
      <c r="C964" s="6"/>
      <c r="E964" s="10"/>
      <c r="G964" s="6"/>
      <c r="H964" s="6"/>
    </row>
    <row r="965" ht="15.75" customHeight="1">
      <c r="B965" s="6"/>
      <c r="C965" s="6"/>
      <c r="E965" s="10"/>
      <c r="G965" s="6"/>
      <c r="H965" s="6"/>
    </row>
    <row r="966" ht="15.75" customHeight="1">
      <c r="B966" s="6"/>
      <c r="C966" s="6"/>
      <c r="E966" s="10"/>
      <c r="G966" s="6"/>
      <c r="H966" s="6"/>
    </row>
    <row r="967" ht="15.75" customHeight="1">
      <c r="B967" s="6"/>
      <c r="C967" s="6"/>
      <c r="E967" s="10"/>
      <c r="G967" s="6"/>
      <c r="H967" s="6"/>
    </row>
    <row r="968" ht="15.75" customHeight="1">
      <c r="B968" s="6"/>
      <c r="C968" s="6"/>
      <c r="E968" s="10"/>
      <c r="G968" s="6"/>
      <c r="H968" s="6"/>
    </row>
    <row r="969" ht="15.75" customHeight="1">
      <c r="B969" s="6"/>
      <c r="C969" s="6"/>
      <c r="E969" s="10"/>
      <c r="G969" s="6"/>
      <c r="H969" s="6"/>
    </row>
    <row r="970" ht="15.75" customHeight="1">
      <c r="B970" s="6"/>
      <c r="C970" s="6"/>
      <c r="E970" s="10"/>
      <c r="G970" s="6"/>
      <c r="H970" s="6"/>
    </row>
    <row r="971" ht="15.75" customHeight="1">
      <c r="B971" s="6"/>
      <c r="C971" s="6"/>
      <c r="E971" s="10"/>
      <c r="G971" s="6"/>
      <c r="H971" s="6"/>
    </row>
    <row r="972" ht="15.75" customHeight="1">
      <c r="B972" s="6"/>
      <c r="C972" s="6"/>
      <c r="E972" s="10"/>
      <c r="G972" s="6"/>
      <c r="H972" s="6"/>
    </row>
    <row r="973" ht="15.75" customHeight="1">
      <c r="B973" s="6"/>
      <c r="C973" s="6"/>
      <c r="E973" s="10"/>
      <c r="G973" s="6"/>
      <c r="H973" s="6"/>
    </row>
    <row r="974" ht="15.75" customHeight="1">
      <c r="B974" s="6"/>
      <c r="C974" s="6"/>
      <c r="E974" s="10"/>
      <c r="G974" s="6"/>
      <c r="H974" s="6"/>
    </row>
    <row r="975" ht="15.75" customHeight="1">
      <c r="B975" s="6"/>
      <c r="C975" s="6"/>
      <c r="E975" s="10"/>
      <c r="G975" s="6"/>
      <c r="H975" s="6"/>
    </row>
    <row r="976" ht="15.75" customHeight="1">
      <c r="B976" s="6"/>
      <c r="C976" s="6"/>
      <c r="E976" s="10"/>
      <c r="G976" s="6"/>
      <c r="H976" s="6"/>
    </row>
    <row r="977" ht="15.75" customHeight="1">
      <c r="B977" s="6"/>
      <c r="C977" s="6"/>
      <c r="E977" s="10"/>
      <c r="G977" s="6"/>
      <c r="H977" s="6"/>
    </row>
    <row r="978" ht="15.75" customHeight="1">
      <c r="B978" s="6"/>
      <c r="C978" s="6"/>
      <c r="E978" s="10"/>
      <c r="G978" s="6"/>
      <c r="H978" s="6"/>
    </row>
    <row r="979" ht="15.75" customHeight="1">
      <c r="B979" s="6"/>
      <c r="C979" s="6"/>
      <c r="E979" s="10"/>
      <c r="G979" s="6"/>
      <c r="H979" s="6"/>
    </row>
    <row r="980" ht="15.75" customHeight="1">
      <c r="B980" s="6"/>
      <c r="C980" s="6"/>
      <c r="E980" s="10"/>
      <c r="G980" s="6"/>
      <c r="H980" s="6"/>
    </row>
    <row r="981" ht="15.75" customHeight="1">
      <c r="B981" s="6"/>
      <c r="C981" s="6"/>
      <c r="E981" s="10"/>
      <c r="G981" s="6"/>
      <c r="H981" s="6"/>
    </row>
    <row r="982" ht="15.75" customHeight="1">
      <c r="B982" s="6"/>
      <c r="C982" s="6"/>
      <c r="E982" s="10"/>
      <c r="G982" s="6"/>
      <c r="H982" s="6"/>
    </row>
    <row r="983" ht="15.75" customHeight="1">
      <c r="B983" s="6"/>
      <c r="C983" s="6"/>
      <c r="E983" s="10"/>
      <c r="G983" s="6"/>
      <c r="H983" s="6"/>
    </row>
    <row r="984" ht="15.75" customHeight="1">
      <c r="B984" s="6"/>
      <c r="C984" s="6"/>
      <c r="E984" s="10"/>
      <c r="G984" s="6"/>
      <c r="H984" s="6"/>
    </row>
    <row r="985" ht="15.75" customHeight="1">
      <c r="B985" s="6"/>
      <c r="C985" s="6"/>
      <c r="E985" s="10"/>
      <c r="G985" s="6"/>
      <c r="H985" s="6"/>
    </row>
    <row r="986" ht="15.75" customHeight="1">
      <c r="B986" s="6"/>
      <c r="C986" s="6"/>
      <c r="E986" s="10"/>
      <c r="G986" s="6"/>
      <c r="H986" s="6"/>
    </row>
    <row r="987" ht="15.75" customHeight="1">
      <c r="B987" s="6"/>
      <c r="C987" s="6"/>
      <c r="E987" s="10"/>
      <c r="G987" s="6"/>
      <c r="H987" s="6"/>
    </row>
    <row r="988" ht="15.75" customHeight="1">
      <c r="B988" s="6"/>
      <c r="C988" s="6"/>
      <c r="E988" s="10"/>
      <c r="G988" s="6"/>
      <c r="H988" s="6"/>
    </row>
    <row r="989" ht="15.75" customHeight="1">
      <c r="B989" s="6"/>
      <c r="C989" s="6"/>
      <c r="E989" s="10"/>
      <c r="G989" s="6"/>
      <c r="H989" s="6"/>
    </row>
    <row r="990" ht="15.75" customHeight="1">
      <c r="B990" s="6"/>
      <c r="C990" s="6"/>
      <c r="E990" s="10"/>
      <c r="G990" s="6"/>
      <c r="H990" s="6"/>
    </row>
    <row r="991" ht="15.75" customHeight="1">
      <c r="B991" s="6"/>
      <c r="C991" s="6"/>
      <c r="E991" s="10"/>
      <c r="G991" s="6"/>
      <c r="H991" s="6"/>
    </row>
    <row r="992" ht="15.75" customHeight="1">
      <c r="B992" s="6"/>
      <c r="C992" s="6"/>
      <c r="E992" s="10"/>
      <c r="G992" s="6"/>
      <c r="H992" s="6"/>
    </row>
    <row r="993" ht="15.75" customHeight="1">
      <c r="B993" s="6"/>
      <c r="C993" s="6"/>
      <c r="E993" s="10"/>
      <c r="G993" s="6"/>
      <c r="H993" s="6"/>
    </row>
    <row r="994" ht="15.75" customHeight="1">
      <c r="B994" s="6"/>
      <c r="C994" s="6"/>
      <c r="E994" s="10"/>
      <c r="G994" s="6"/>
      <c r="H994" s="6"/>
    </row>
    <row r="995" ht="15.75" customHeight="1">
      <c r="B995" s="6"/>
      <c r="C995" s="6"/>
      <c r="E995" s="10"/>
      <c r="G995" s="6"/>
      <c r="H995" s="6"/>
    </row>
    <row r="996" ht="15.75" customHeight="1">
      <c r="B996" s="6"/>
      <c r="C996" s="6"/>
      <c r="E996" s="10"/>
      <c r="G996" s="6"/>
      <c r="H996" s="6"/>
    </row>
    <row r="997" ht="15.75" customHeight="1">
      <c r="B997" s="6"/>
      <c r="C997" s="6"/>
      <c r="E997" s="10"/>
      <c r="G997" s="6"/>
      <c r="H997" s="6"/>
    </row>
    <row r="998" ht="15.75" customHeight="1">
      <c r="B998" s="6"/>
      <c r="C998" s="6"/>
      <c r="E998" s="10"/>
      <c r="G998" s="6"/>
      <c r="H998" s="6"/>
    </row>
    <row r="999" ht="15.75" customHeight="1">
      <c r="B999" s="6"/>
      <c r="C999" s="6"/>
      <c r="E999" s="10"/>
      <c r="H999" s="6"/>
    </row>
    <row r="1000" ht="15.75" customHeight="1">
      <c r="B1000" s="6"/>
      <c r="C1000" s="6"/>
      <c r="E1000" s="10"/>
      <c r="H1000" s="6"/>
    </row>
  </sheetData>
  <dataValidations>
    <dataValidation type="list" allowBlank="1" showErrorMessage="1" sqref="B2:B1000">
      <formula1>"Job,Investment,Startup,Gift"</formula1>
    </dataValidation>
    <dataValidation type="list" allowBlank="1" showErrorMessage="1" sqref="E2:E1000">
      <formula1>"ICICI Credit Card,ICICI Bank Transfer,Canara GPay,Canara Bank Transfer,BOB Zerodha,BOB GPay"</formula1>
    </dataValidation>
    <dataValidation type="list" allowBlank="1" showErrorMessage="1" sqref="G2:G998">
      <formula1>"Investment,Startup,Grocery,Utilities,Health,Entertainment,Travel,Gift,Outside food,Hobby"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4" t="s">
        <v>0</v>
      </c>
    </row>
    <row r="6">
      <c r="B6" s="4" t="s">
        <v>10</v>
      </c>
      <c r="C6" s="4">
        <v>60349.0</v>
      </c>
    </row>
    <row r="7">
      <c r="B7" s="4" t="s">
        <v>12</v>
      </c>
      <c r="C7" s="4">
        <v>80000.0</v>
      </c>
    </row>
    <row r="8">
      <c r="B8" s="4" t="s">
        <v>14</v>
      </c>
      <c r="C8" s="4">
        <v>17000.0</v>
      </c>
      <c r="D8" s="4" t="s">
        <v>15</v>
      </c>
      <c r="E8" s="4" t="s">
        <v>16</v>
      </c>
      <c r="F8" s="4" t="s">
        <v>17</v>
      </c>
    </row>
    <row r="9">
      <c r="B9" s="4" t="s">
        <v>18</v>
      </c>
      <c r="C9" s="4">
        <v>121883.0</v>
      </c>
      <c r="D9" s="4">
        <v>25166.0</v>
      </c>
      <c r="E9" s="4">
        <v>67700.0</v>
      </c>
    </row>
    <row r="10">
      <c r="B10" s="4" t="s">
        <v>19</v>
      </c>
      <c r="C10" s="4">
        <v>13685.0</v>
      </c>
    </row>
    <row r="11">
      <c r="B11" s="4" t="s">
        <v>20</v>
      </c>
      <c r="C11" s="4"/>
      <c r="D11" s="4">
        <v>2000.0</v>
      </c>
    </row>
    <row r="12">
      <c r="B12" s="4" t="s">
        <v>22</v>
      </c>
    </row>
    <row r="13">
      <c r="B13" s="4" t="s">
        <v>23</v>
      </c>
      <c r="C13" s="4">
        <v>100000.0</v>
      </c>
    </row>
    <row r="14">
      <c r="C14" s="12">
        <f>SUM(C6:C13)</f>
        <v>392917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 t="s">
        <v>33</v>
      </c>
      <c r="B2" s="8"/>
      <c r="C2" s="7">
        <v>5500.0</v>
      </c>
      <c r="D2" s="11"/>
      <c r="E2" s="13"/>
      <c r="F2" s="8"/>
      <c r="G2" s="8" t="s">
        <v>34</v>
      </c>
      <c r="H2" s="7" t="s">
        <v>44</v>
      </c>
      <c r="I2" s="9">
        <v>1000.0</v>
      </c>
      <c r="J2" s="7" t="s">
        <v>2</v>
      </c>
      <c r="K2" s="7" t="s">
        <v>21</v>
      </c>
      <c r="L2" s="8"/>
      <c r="M2" s="8"/>
      <c r="P2" s="8"/>
      <c r="Q2" s="8"/>
      <c r="R2" s="8"/>
    </row>
    <row r="3">
      <c r="A3" s="9" t="s">
        <v>49</v>
      </c>
      <c r="B3" s="8"/>
      <c r="C3" s="7">
        <v>5500.0</v>
      </c>
      <c r="D3" s="11"/>
      <c r="E3" s="13"/>
      <c r="F3" s="11"/>
      <c r="G3" s="8"/>
      <c r="H3" s="7" t="s">
        <v>52</v>
      </c>
      <c r="I3" s="9"/>
      <c r="J3" s="7" t="s">
        <v>2</v>
      </c>
      <c r="K3" s="7" t="s">
        <v>21</v>
      </c>
      <c r="L3" s="7" t="s">
        <v>53</v>
      </c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J4" s="7" t="s">
        <v>2</v>
      </c>
      <c r="K4" s="7" t="s">
        <v>54</v>
      </c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J5" s="7" t="s">
        <v>2</v>
      </c>
      <c r="K5" s="7" t="s">
        <v>54</v>
      </c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8"/>
      <c r="I16" s="8"/>
      <c r="J16" s="8"/>
      <c r="K16" s="8"/>
      <c r="L16" s="8"/>
      <c r="M16" s="8"/>
      <c r="P16" s="8"/>
      <c r="Q16" s="8"/>
      <c r="R16" s="8"/>
    </row>
    <row r="17">
      <c r="A17" s="8"/>
      <c r="B17" s="8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E23" s="8"/>
      <c r="F23" s="8"/>
      <c r="K23" s="8"/>
      <c r="L23" s="8"/>
      <c r="M23" s="8"/>
      <c r="P23" s="8"/>
      <c r="Q23" s="8"/>
      <c r="R23" s="8"/>
    </row>
    <row r="24">
      <c r="A24" s="8"/>
      <c r="B24" s="8"/>
      <c r="C24" s="11"/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5" t="s">
        <v>3</v>
      </c>
      <c r="C25" s="15" t="s">
        <v>57</v>
      </c>
      <c r="D25" s="5"/>
      <c r="E25" s="8"/>
      <c r="F25" s="8"/>
      <c r="K25" s="8"/>
      <c r="L25" s="8"/>
      <c r="M25" s="8"/>
      <c r="P25" s="8"/>
      <c r="Q25" s="8"/>
      <c r="R25" s="8"/>
    </row>
    <row r="26">
      <c r="A26" s="8"/>
      <c r="B26" s="16" t="s">
        <v>34</v>
      </c>
      <c r="C26" s="17">
        <f>SUM(I2:I15)</f>
        <v>1000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8" t="s">
        <v>59</v>
      </c>
      <c r="C27" s="17">
        <f>SUM(I16:I28)</f>
        <v>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60</v>
      </c>
      <c r="C28" s="17">
        <f>SUM(I29:I43)</f>
        <v>10603</v>
      </c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 t="s">
        <v>42</v>
      </c>
      <c r="C29" s="17">
        <f>SUM(I44:I60)</f>
        <v>4080</v>
      </c>
      <c r="D29" s="8"/>
      <c r="E29" s="8"/>
      <c r="F29" s="11"/>
      <c r="G29" s="4" t="s">
        <v>10</v>
      </c>
      <c r="H29" s="4" t="s">
        <v>69</v>
      </c>
      <c r="I29" s="4">
        <v>490.0</v>
      </c>
      <c r="J29" s="4" t="s">
        <v>75</v>
      </c>
      <c r="K29" s="7" t="s">
        <v>54</v>
      </c>
      <c r="L29" s="8"/>
      <c r="M29" s="8"/>
      <c r="P29" s="8"/>
      <c r="Q29" s="8"/>
      <c r="R29" s="8"/>
    </row>
    <row r="30">
      <c r="A30" s="8"/>
      <c r="B30" s="18" t="s">
        <v>61</v>
      </c>
      <c r="C30" s="17"/>
      <c r="D30" s="8"/>
      <c r="E30" s="8"/>
      <c r="F30" s="11"/>
      <c r="H30" s="4" t="s">
        <v>77</v>
      </c>
      <c r="I30" s="4">
        <v>410.0</v>
      </c>
      <c r="J30" s="4" t="s">
        <v>75</v>
      </c>
      <c r="K30" s="7" t="s">
        <v>54</v>
      </c>
      <c r="L30" s="8"/>
      <c r="M30" s="8"/>
      <c r="P30" s="8"/>
      <c r="Q30" s="8"/>
      <c r="R30" s="8"/>
    </row>
    <row r="31">
      <c r="A31" s="8"/>
      <c r="B31" s="19"/>
      <c r="C31" s="17"/>
      <c r="D31" s="8"/>
      <c r="E31" s="8"/>
      <c r="F31" s="11"/>
      <c r="H31" s="25">
        <v>45849.0</v>
      </c>
      <c r="I31" s="4">
        <v>3278.0</v>
      </c>
      <c r="J31" s="4" t="s">
        <v>82</v>
      </c>
      <c r="K31" s="7" t="s">
        <v>54</v>
      </c>
      <c r="L31" s="8"/>
      <c r="M31" s="8"/>
      <c r="P31" s="8"/>
      <c r="Q31" s="8"/>
      <c r="R31" s="8"/>
    </row>
    <row r="32">
      <c r="A32" s="8"/>
      <c r="B32" s="20" t="s">
        <v>64</v>
      </c>
      <c r="C32" s="21">
        <f>SUM(I61:I78)</f>
        <v>8219</v>
      </c>
      <c r="D32" s="11"/>
      <c r="E32" s="8"/>
      <c r="F32" s="11"/>
      <c r="H32" s="4" t="s">
        <v>83</v>
      </c>
      <c r="I32" s="4">
        <v>1940.0</v>
      </c>
      <c r="J32" s="4" t="s">
        <v>63</v>
      </c>
      <c r="K32" s="7" t="s">
        <v>54</v>
      </c>
      <c r="L32" s="8"/>
      <c r="M32" s="8"/>
      <c r="P32" s="8"/>
      <c r="Q32" s="8"/>
      <c r="R32" s="8"/>
    </row>
    <row r="33">
      <c r="A33" s="8"/>
      <c r="B33" s="16" t="s">
        <v>38</v>
      </c>
      <c r="C33" s="17">
        <f>SUM(I79:I93)</f>
        <v>0</v>
      </c>
      <c r="D33" s="8"/>
      <c r="E33" s="8"/>
      <c r="F33" s="11"/>
      <c r="H33" s="4" t="s">
        <v>84</v>
      </c>
      <c r="I33" s="4">
        <v>4235.0</v>
      </c>
      <c r="J33" s="4" t="s">
        <v>63</v>
      </c>
      <c r="K33" s="7" t="s">
        <v>54</v>
      </c>
      <c r="L33" s="8"/>
      <c r="M33" s="8"/>
      <c r="P33" s="8"/>
      <c r="Q33" s="8"/>
      <c r="R33" s="8"/>
    </row>
    <row r="34">
      <c r="A34" s="8"/>
      <c r="B34" s="19"/>
      <c r="C34" s="17"/>
      <c r="D34" s="8"/>
      <c r="E34" s="8"/>
      <c r="F34" s="11"/>
      <c r="H34" s="7" t="s">
        <v>85</v>
      </c>
      <c r="I34" s="9">
        <v>150.0</v>
      </c>
      <c r="K34" s="8"/>
      <c r="L34" s="8"/>
      <c r="M34" s="8"/>
      <c r="P34" s="8"/>
      <c r="Q34" s="8"/>
      <c r="R34" s="8"/>
    </row>
    <row r="35">
      <c r="A35" s="8"/>
      <c r="B35" s="16"/>
      <c r="C35" s="17"/>
      <c r="D35" s="8"/>
      <c r="E35" s="8"/>
      <c r="F35" s="11"/>
      <c r="H35" s="7" t="s">
        <v>86</v>
      </c>
      <c r="I35" s="9">
        <v>100.0</v>
      </c>
      <c r="K35" s="8"/>
      <c r="L35" s="8"/>
      <c r="M35" s="8"/>
      <c r="P35" s="8"/>
      <c r="Q35" s="8"/>
      <c r="R35" s="8"/>
    </row>
    <row r="36">
      <c r="A36" s="8"/>
      <c r="B36" s="22" t="s">
        <v>57</v>
      </c>
      <c r="C36" s="23">
        <f>SUM(I2:I95)</f>
        <v>23902</v>
      </c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7" t="s">
        <v>70</v>
      </c>
      <c r="C37" s="8">
        <f>SUM(C26:C30)</f>
        <v>15683</v>
      </c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/>
      <c r="C39" s="5"/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102</v>
      </c>
      <c r="I44" s="4">
        <v>2800.0</v>
      </c>
      <c r="J44" s="4" t="s">
        <v>103</v>
      </c>
      <c r="K44" s="7" t="s">
        <v>104</v>
      </c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105</v>
      </c>
      <c r="I45" s="4">
        <v>920.0</v>
      </c>
      <c r="J45" s="4" t="s">
        <v>103</v>
      </c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H46" s="4" t="s">
        <v>106</v>
      </c>
      <c r="I46" s="4">
        <v>360.0</v>
      </c>
      <c r="J46" s="4" t="s">
        <v>103</v>
      </c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109</v>
      </c>
      <c r="I61" s="4">
        <v>8219.0</v>
      </c>
      <c r="J61" s="4" t="s">
        <v>110</v>
      </c>
      <c r="K61" s="7" t="s">
        <v>111</v>
      </c>
      <c r="L61" s="7">
        <v>4060.0</v>
      </c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 t="s">
        <v>21</v>
      </c>
      <c r="B2" s="8"/>
      <c r="C2" s="8"/>
      <c r="D2" s="11"/>
      <c r="E2" s="13"/>
      <c r="F2" s="8"/>
      <c r="G2" s="8" t="s">
        <v>34</v>
      </c>
      <c r="H2" s="8"/>
      <c r="I2" s="9">
        <v>0.0</v>
      </c>
      <c r="J2" s="8"/>
      <c r="K2" s="7" t="s">
        <v>21</v>
      </c>
      <c r="L2" s="8"/>
      <c r="M2" s="8"/>
      <c r="P2" s="8"/>
      <c r="Q2" s="8"/>
      <c r="R2" s="8"/>
    </row>
    <row r="3">
      <c r="A3" s="9" t="s">
        <v>41</v>
      </c>
      <c r="B3" s="8"/>
      <c r="C3" s="8"/>
      <c r="D3" s="11"/>
      <c r="E3" s="13"/>
      <c r="F3" s="11"/>
      <c r="G3" s="8"/>
      <c r="H3" s="8"/>
      <c r="I3" s="11"/>
      <c r="J3" s="7"/>
      <c r="K3" s="7" t="s">
        <v>41</v>
      </c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7" t="s">
        <v>55</v>
      </c>
      <c r="C15" s="7">
        <v>1000.0</v>
      </c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 t="s">
        <v>56</v>
      </c>
      <c r="I16" s="7">
        <v>825.0</v>
      </c>
      <c r="J16" s="7" t="s">
        <v>2</v>
      </c>
      <c r="K16" s="8"/>
      <c r="L16" s="8"/>
      <c r="M16" s="8"/>
      <c r="P16" s="8"/>
      <c r="Q16" s="8"/>
      <c r="R16" s="8"/>
    </row>
    <row r="17">
      <c r="A17" s="8"/>
      <c r="B17" s="8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1"/>
      <c r="E23" s="1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SUM(I2:Z14)</f>
        <v>0</v>
      </c>
      <c r="D24" s="8"/>
      <c r="E24" s="11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SUM(I16:I28)</f>
        <v>825</v>
      </c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SUM(I29:I43)</f>
        <v>7055</v>
      </c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SUM(I44:I60)</f>
        <v>6140</v>
      </c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K28" s="8"/>
      <c r="L28" s="8"/>
      <c r="M28" s="8"/>
      <c r="P28" s="8"/>
      <c r="Q28" s="8"/>
      <c r="R28" s="8"/>
    </row>
    <row r="29">
      <c r="A29" s="8"/>
      <c r="B29" s="19"/>
      <c r="C29" s="17"/>
      <c r="G29" s="4" t="s">
        <v>10</v>
      </c>
      <c r="H29" s="4" t="s">
        <v>62</v>
      </c>
      <c r="I29" s="4">
        <v>140.0</v>
      </c>
      <c r="J29" s="4" t="s">
        <v>63</v>
      </c>
      <c r="K29" s="7" t="s">
        <v>54</v>
      </c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SUM(I61:I78)</f>
        <v>3083</v>
      </c>
      <c r="H30" s="4" t="s">
        <v>65</v>
      </c>
      <c r="I30" s="4">
        <v>2300.0</v>
      </c>
      <c r="J30" s="4" t="s">
        <v>63</v>
      </c>
      <c r="K30" s="7" t="s">
        <v>66</v>
      </c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SUM(I79:I93)</f>
        <v>0</v>
      </c>
      <c r="H31" s="4" t="s">
        <v>67</v>
      </c>
      <c r="I31" s="4">
        <v>400.0</v>
      </c>
      <c r="J31" s="4" t="s">
        <v>63</v>
      </c>
      <c r="K31" s="7" t="s">
        <v>54</v>
      </c>
      <c r="L31" s="8"/>
      <c r="M31" s="8"/>
      <c r="P31" s="8"/>
      <c r="Q31" s="8"/>
      <c r="R31" s="8"/>
    </row>
    <row r="32">
      <c r="A32" s="8"/>
      <c r="B32" s="19"/>
      <c r="C32" s="17"/>
      <c r="H32" s="4" t="s">
        <v>68</v>
      </c>
      <c r="I32" s="4">
        <v>3190.0</v>
      </c>
      <c r="J32" s="4" t="s">
        <v>63</v>
      </c>
      <c r="K32" s="7" t="s">
        <v>54</v>
      </c>
      <c r="L32" s="8"/>
      <c r="M32" s="8"/>
      <c r="P32" s="8"/>
      <c r="Q32" s="8"/>
      <c r="R32" s="8"/>
    </row>
    <row r="33">
      <c r="A33" s="8"/>
      <c r="B33" s="16"/>
      <c r="C33" s="17"/>
      <c r="H33" s="4" t="s">
        <v>69</v>
      </c>
      <c r="I33" s="4">
        <v>1025.0</v>
      </c>
      <c r="J33" s="4" t="s">
        <v>63</v>
      </c>
      <c r="K33" s="7" t="s">
        <v>54</v>
      </c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17103</v>
      </c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14020</v>
      </c>
      <c r="K35" s="8"/>
      <c r="L35" s="8"/>
      <c r="M35" s="8"/>
      <c r="P35" s="8"/>
      <c r="Q35" s="8"/>
      <c r="R35" s="8"/>
    </row>
    <row r="36">
      <c r="A36" s="8"/>
      <c r="B36" s="8"/>
      <c r="C36" s="8"/>
      <c r="K36" s="8"/>
      <c r="L36" s="8"/>
      <c r="M36" s="8"/>
      <c r="P36" s="8"/>
      <c r="Q36" s="8"/>
      <c r="R36" s="8"/>
    </row>
    <row r="37">
      <c r="A37" s="8"/>
      <c r="B37" s="14"/>
      <c r="C37" s="5"/>
      <c r="K37" s="8"/>
      <c r="L37" s="8"/>
      <c r="M37" s="8"/>
      <c r="P37" s="8"/>
      <c r="Q37" s="8"/>
      <c r="R37" s="8"/>
    </row>
    <row r="38">
      <c r="A38" s="8"/>
      <c r="B38" s="8"/>
      <c r="C38" s="8"/>
      <c r="K38" s="8"/>
      <c r="L38" s="8"/>
      <c r="M38" s="8"/>
      <c r="P38" s="8"/>
      <c r="Q38" s="8"/>
      <c r="R38" s="8"/>
    </row>
    <row r="39">
      <c r="A39" s="8"/>
      <c r="B39" s="14"/>
      <c r="C39" s="5"/>
      <c r="K39" s="8"/>
      <c r="L39" s="8"/>
      <c r="M39" s="8"/>
      <c r="P39" s="8"/>
      <c r="Q39" s="8"/>
      <c r="R39" s="8"/>
    </row>
    <row r="40">
      <c r="A40" s="8"/>
      <c r="B40" s="8"/>
      <c r="C40" s="8"/>
      <c r="K40" s="8"/>
      <c r="L40" s="8"/>
      <c r="M40" s="8"/>
      <c r="P40" s="8"/>
      <c r="Q40" s="8"/>
      <c r="R40" s="8"/>
    </row>
    <row r="41">
      <c r="A41" s="8"/>
      <c r="B41" s="8"/>
      <c r="C41" s="8"/>
      <c r="K41" s="8"/>
      <c r="L41" s="8"/>
      <c r="M41" s="8"/>
      <c r="P41" s="8"/>
      <c r="Q41" s="8"/>
      <c r="R41" s="8"/>
    </row>
    <row r="42">
      <c r="A42" s="8"/>
      <c r="B42" s="8"/>
      <c r="C42" s="8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76</v>
      </c>
      <c r="I44" s="4">
        <v>5000.0</v>
      </c>
      <c r="J44" s="4" t="s">
        <v>78</v>
      </c>
      <c r="K44" s="7" t="s">
        <v>79</v>
      </c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80</v>
      </c>
      <c r="I45" s="4">
        <v>1140.0</v>
      </c>
      <c r="J45" s="4" t="s">
        <v>78</v>
      </c>
      <c r="K45" s="7" t="s">
        <v>81</v>
      </c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11"/>
      <c r="D47" s="8"/>
      <c r="E47" s="8"/>
      <c r="K47" s="26"/>
      <c r="L47" s="8"/>
      <c r="M47" s="8"/>
      <c r="P47" s="8"/>
      <c r="Q47" s="8"/>
      <c r="R47" s="8"/>
    </row>
    <row r="48">
      <c r="A48" s="8"/>
      <c r="B48" s="7"/>
      <c r="C48" s="11"/>
      <c r="D48" s="8"/>
      <c r="E48" s="8"/>
      <c r="K48" s="27"/>
      <c r="L48" s="8"/>
      <c r="M48" s="8"/>
      <c r="P48" s="8"/>
      <c r="Q48" s="8"/>
      <c r="R48" s="8"/>
    </row>
    <row r="49">
      <c r="A49" s="8"/>
      <c r="B49" s="7"/>
      <c r="C49" s="11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11"/>
      <c r="D50" s="8"/>
      <c r="E50" s="8"/>
      <c r="K50" s="11"/>
      <c r="L50" s="8"/>
      <c r="M50" s="8"/>
      <c r="P50" s="8"/>
      <c r="Q50" s="8"/>
      <c r="R50" s="8"/>
    </row>
    <row r="51">
      <c r="A51" s="8"/>
      <c r="B51" s="7"/>
      <c r="C51" s="11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11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11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11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11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11"/>
      <c r="D56" s="8"/>
      <c r="E56" s="8"/>
      <c r="K56" s="8"/>
      <c r="L56" s="8"/>
      <c r="M56" s="8"/>
      <c r="P56" s="8"/>
      <c r="Q56" s="8"/>
      <c r="R56" s="8"/>
    </row>
    <row r="57">
      <c r="A57" s="8"/>
      <c r="B57" s="14"/>
      <c r="C57" s="5"/>
      <c r="D57" s="8"/>
      <c r="E57" s="8"/>
      <c r="K57" s="11"/>
      <c r="L57" s="8"/>
      <c r="M57" s="8"/>
      <c r="P57" s="8"/>
      <c r="Q57" s="8"/>
      <c r="R57" s="8"/>
    </row>
    <row r="58">
      <c r="A58" s="8"/>
      <c r="B58" s="7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D59" s="8"/>
      <c r="E59" s="8"/>
      <c r="K59" s="11"/>
      <c r="L59" s="8"/>
      <c r="M59" s="8"/>
      <c r="P59" s="8"/>
      <c r="Q59" s="8"/>
      <c r="R59" s="8"/>
    </row>
    <row r="60">
      <c r="A60" s="8"/>
      <c r="D60" s="8"/>
      <c r="E60" s="8"/>
      <c r="K60" s="8"/>
      <c r="L60" s="8"/>
      <c r="M60" s="8"/>
      <c r="P60" s="8"/>
      <c r="Q60" s="8"/>
      <c r="R60" s="8"/>
    </row>
    <row r="61">
      <c r="A61" s="8"/>
      <c r="D61" s="8"/>
      <c r="E61" s="8"/>
      <c r="G61" s="4" t="s">
        <v>87</v>
      </c>
      <c r="H61" s="4" t="s">
        <v>88</v>
      </c>
      <c r="I61" s="4">
        <v>400.0</v>
      </c>
      <c r="J61" s="4" t="s">
        <v>63</v>
      </c>
      <c r="K61" s="7" t="s">
        <v>89</v>
      </c>
      <c r="L61" s="8"/>
      <c r="M61" s="8"/>
      <c r="P61" s="8"/>
      <c r="Q61" s="8"/>
      <c r="R61" s="8"/>
    </row>
    <row r="62">
      <c r="A62" s="8"/>
      <c r="D62" s="8"/>
      <c r="E62" s="8"/>
      <c r="H62" s="4" t="s">
        <v>90</v>
      </c>
      <c r="I62" s="4">
        <v>2683.0</v>
      </c>
      <c r="J62" s="4" t="s">
        <v>91</v>
      </c>
      <c r="K62" s="7" t="s">
        <v>92</v>
      </c>
      <c r="L62" s="8"/>
      <c r="M62" s="8"/>
      <c r="P62" s="8"/>
      <c r="Q62" s="8"/>
      <c r="R62" s="8"/>
    </row>
    <row r="63">
      <c r="A63" s="8"/>
      <c r="D63" s="8"/>
      <c r="E63" s="8"/>
      <c r="K63" s="8"/>
      <c r="L63" s="8"/>
      <c r="M63" s="8"/>
      <c r="P63" s="8"/>
      <c r="Q63" s="8"/>
      <c r="R63" s="8"/>
    </row>
    <row r="64">
      <c r="A64" s="8"/>
      <c r="D64" s="8"/>
      <c r="E64" s="8"/>
      <c r="L64" s="8"/>
      <c r="M64" s="8"/>
      <c r="P64" s="8"/>
      <c r="Q64" s="8"/>
      <c r="R64" s="8"/>
    </row>
    <row r="65">
      <c r="A65" s="8"/>
      <c r="D65" s="8"/>
      <c r="E65" s="8"/>
      <c r="K65" s="8"/>
      <c r="L65" s="8"/>
      <c r="M65" s="8"/>
      <c r="P65" s="8"/>
      <c r="Q65" s="8"/>
      <c r="R65" s="8"/>
    </row>
    <row r="66">
      <c r="A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 t="s">
        <v>21</v>
      </c>
      <c r="B2" s="8"/>
      <c r="C2" s="8"/>
      <c r="D2" s="11"/>
      <c r="E2" s="13"/>
      <c r="F2" s="8"/>
      <c r="G2" s="8" t="s">
        <v>34</v>
      </c>
      <c r="H2" s="7" t="s">
        <v>58</v>
      </c>
      <c r="I2" s="9">
        <v>1400.0</v>
      </c>
      <c r="J2" s="8"/>
      <c r="K2" s="7" t="s">
        <v>21</v>
      </c>
      <c r="L2" s="8"/>
      <c r="M2" s="8"/>
      <c r="P2" s="8"/>
      <c r="Q2" s="8"/>
      <c r="R2" s="8"/>
    </row>
    <row r="3">
      <c r="A3" s="9" t="s">
        <v>41</v>
      </c>
      <c r="B3" s="8"/>
      <c r="C3" s="8"/>
      <c r="D3" s="11"/>
      <c r="E3" s="13"/>
      <c r="F3" s="11"/>
      <c r="G3" s="8"/>
      <c r="H3" s="8"/>
      <c r="I3" s="11"/>
      <c r="J3" s="7"/>
      <c r="K3" s="7" t="s">
        <v>41</v>
      </c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7" t="s">
        <v>71</v>
      </c>
      <c r="C15" s="7">
        <v>5000.0</v>
      </c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B16" s="4" t="s">
        <v>72</v>
      </c>
      <c r="C16" s="4">
        <v>5000.0</v>
      </c>
      <c r="E16" s="8"/>
      <c r="F16" s="8"/>
      <c r="G16" s="7" t="s">
        <v>39</v>
      </c>
      <c r="H16" s="7" t="s">
        <v>73</v>
      </c>
      <c r="I16" s="7">
        <v>1200.0</v>
      </c>
      <c r="J16" s="8"/>
      <c r="K16" s="7" t="s">
        <v>54</v>
      </c>
      <c r="L16" s="8"/>
      <c r="M16" s="8"/>
      <c r="P16" s="8"/>
      <c r="Q16" s="8"/>
      <c r="R16" s="8"/>
    </row>
    <row r="17">
      <c r="A17" s="8"/>
      <c r="B17" s="8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"/>
      <c r="C23" s="1"/>
      <c r="F23" s="8"/>
      <c r="K23" s="8"/>
      <c r="L23" s="8"/>
      <c r="M23" s="8"/>
      <c r="P23" s="8"/>
      <c r="Q23" s="8"/>
      <c r="R23" s="8"/>
    </row>
    <row r="24">
      <c r="A24" s="8"/>
      <c r="B24" s="8"/>
      <c r="C24" s="11"/>
      <c r="F24" s="8"/>
      <c r="K24" s="8"/>
      <c r="L24" s="8"/>
      <c r="M24" s="8"/>
      <c r="P24" s="8"/>
      <c r="Q24" s="8"/>
      <c r="R24" s="8"/>
    </row>
    <row r="25">
      <c r="A25" s="8"/>
      <c r="B25" s="15" t="s">
        <v>3</v>
      </c>
      <c r="C25" s="15" t="s">
        <v>57</v>
      </c>
      <c r="F25" s="8"/>
      <c r="K25" s="8"/>
      <c r="L25" s="8"/>
      <c r="M25" s="8"/>
      <c r="P25" s="8"/>
      <c r="Q25" s="8"/>
      <c r="R25" s="8"/>
    </row>
    <row r="26">
      <c r="A26" s="8"/>
      <c r="B26" s="16" t="s">
        <v>34</v>
      </c>
      <c r="C26" s="17">
        <f>SUM(I2:Z14)</f>
        <v>1400</v>
      </c>
      <c r="F26" s="11"/>
      <c r="K26" s="8"/>
      <c r="L26" s="8"/>
      <c r="M26" s="8"/>
      <c r="P26" s="8"/>
      <c r="Q26" s="8"/>
      <c r="R26" s="8"/>
    </row>
    <row r="27">
      <c r="A27" s="8"/>
      <c r="B27" s="18" t="s">
        <v>59</v>
      </c>
      <c r="C27" s="17">
        <f>SUM(I16:I28)</f>
        <v>1200</v>
      </c>
      <c r="F27" s="11"/>
      <c r="K27" s="8"/>
      <c r="L27" s="8"/>
      <c r="M27" s="8"/>
      <c r="P27" s="8"/>
      <c r="Q27" s="8"/>
      <c r="R27" s="8"/>
    </row>
    <row r="28">
      <c r="A28" s="8"/>
      <c r="B28" s="18" t="s">
        <v>60</v>
      </c>
      <c r="C28" s="17">
        <f>SUM(I29:I43)</f>
        <v>5951</v>
      </c>
      <c r="F28" s="11"/>
      <c r="K28" s="8"/>
      <c r="L28" s="8"/>
      <c r="M28" s="8"/>
      <c r="P28" s="8"/>
      <c r="Q28" s="8"/>
      <c r="R28" s="8"/>
    </row>
    <row r="29">
      <c r="A29" s="8"/>
      <c r="B29" s="19" t="s">
        <v>42</v>
      </c>
      <c r="C29" s="17">
        <f>SUM(I44:I60)</f>
        <v>2060</v>
      </c>
      <c r="F29" s="11"/>
      <c r="G29" s="4" t="s">
        <v>10</v>
      </c>
      <c r="H29" s="4" t="s">
        <v>93</v>
      </c>
      <c r="I29" s="4">
        <v>140.0</v>
      </c>
      <c r="J29" s="4" t="s">
        <v>94</v>
      </c>
      <c r="K29" s="8"/>
      <c r="L29" s="8"/>
      <c r="M29" s="8"/>
      <c r="P29" s="8"/>
      <c r="Q29" s="8"/>
      <c r="R29" s="8"/>
    </row>
    <row r="30">
      <c r="A30" s="8"/>
      <c r="B30" s="18" t="s">
        <v>61</v>
      </c>
      <c r="C30" s="17"/>
      <c r="F30" s="11"/>
      <c r="H30" s="4" t="s">
        <v>95</v>
      </c>
      <c r="I30" s="4">
        <v>400.0</v>
      </c>
      <c r="J30" s="4" t="s">
        <v>82</v>
      </c>
      <c r="K30" s="8"/>
      <c r="L30" s="8"/>
      <c r="M30" s="8"/>
      <c r="P30" s="8"/>
      <c r="Q30" s="8"/>
      <c r="R30" s="8"/>
    </row>
    <row r="31">
      <c r="A31" s="8"/>
      <c r="B31" s="19"/>
      <c r="C31" s="17"/>
      <c r="F31" s="11"/>
      <c r="H31" s="4" t="s">
        <v>96</v>
      </c>
      <c r="I31" s="4">
        <v>1000.0</v>
      </c>
      <c r="J31" s="4" t="s">
        <v>97</v>
      </c>
      <c r="K31" s="8"/>
      <c r="L31" s="8"/>
      <c r="M31" s="8"/>
      <c r="P31" s="8"/>
      <c r="Q31" s="8"/>
      <c r="R31" s="8"/>
    </row>
    <row r="32">
      <c r="A32" s="8"/>
      <c r="B32" s="20" t="s">
        <v>64</v>
      </c>
      <c r="C32" s="21">
        <f>SUM(I61:I78)</f>
        <v>0</v>
      </c>
      <c r="F32" s="11"/>
      <c r="H32" s="4" t="s">
        <v>69</v>
      </c>
      <c r="I32" s="4">
        <v>1411.0</v>
      </c>
      <c r="J32" s="4" t="s">
        <v>98</v>
      </c>
      <c r="K32" s="8"/>
      <c r="L32" s="8"/>
      <c r="M32" s="8"/>
      <c r="P32" s="8"/>
      <c r="Q32" s="8"/>
      <c r="R32" s="8"/>
    </row>
    <row r="33">
      <c r="A33" s="8"/>
      <c r="B33" s="16" t="s">
        <v>38</v>
      </c>
      <c r="C33" s="17">
        <f>SUM(I79:I93)</f>
        <v>0</v>
      </c>
      <c r="F33" s="11"/>
      <c r="H33" s="4" t="s">
        <v>99</v>
      </c>
      <c r="I33" s="4">
        <v>3000.0</v>
      </c>
      <c r="J33" s="4" t="s">
        <v>100</v>
      </c>
      <c r="K33" s="8"/>
      <c r="L33" s="8"/>
      <c r="M33" s="8"/>
      <c r="P33" s="8"/>
      <c r="Q33" s="8"/>
      <c r="R33" s="8"/>
    </row>
    <row r="34">
      <c r="A34" s="8"/>
      <c r="B34" s="19"/>
      <c r="C34" s="17"/>
      <c r="F34" s="11"/>
      <c r="K34" s="8"/>
      <c r="L34" s="8"/>
      <c r="M34" s="8"/>
      <c r="P34" s="8"/>
      <c r="Q34" s="8"/>
      <c r="R34" s="8"/>
    </row>
    <row r="35">
      <c r="A35" s="8"/>
      <c r="B35" s="16"/>
      <c r="C35" s="17"/>
      <c r="F35" s="11"/>
      <c r="K35" s="8"/>
      <c r="L35" s="8"/>
      <c r="M35" s="8"/>
      <c r="P35" s="8"/>
      <c r="Q35" s="8"/>
      <c r="R35" s="8"/>
    </row>
    <row r="36">
      <c r="A36" s="8"/>
      <c r="B36" s="22" t="s">
        <v>57</v>
      </c>
      <c r="C36" s="23">
        <f>SUM(C26:C35)</f>
        <v>10611</v>
      </c>
      <c r="F36" s="11"/>
      <c r="K36" s="8"/>
      <c r="L36" s="8"/>
      <c r="M36" s="8"/>
      <c r="P36" s="8"/>
      <c r="Q36" s="8"/>
      <c r="R36" s="8"/>
    </row>
    <row r="37">
      <c r="A37" s="8"/>
      <c r="B37" s="7" t="s">
        <v>70</v>
      </c>
      <c r="C37" s="8">
        <f>SUM(C26:C30)</f>
        <v>10611</v>
      </c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8"/>
      <c r="C39" s="8"/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107</v>
      </c>
      <c r="I44" s="4">
        <v>1240.0</v>
      </c>
      <c r="J44" s="4" t="s">
        <v>108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112</v>
      </c>
      <c r="I45" s="4">
        <v>360.0</v>
      </c>
      <c r="J45" s="4" t="s">
        <v>113</v>
      </c>
      <c r="K45" s="8"/>
      <c r="L45" s="8"/>
      <c r="M45" s="8"/>
      <c r="P45" s="8"/>
      <c r="Q45" s="8"/>
      <c r="R45" s="8"/>
    </row>
    <row r="46">
      <c r="A46" s="8"/>
      <c r="D46" s="8"/>
      <c r="E46" s="8"/>
      <c r="F46" s="11"/>
      <c r="H46" s="4" t="s">
        <v>114</v>
      </c>
      <c r="I46" s="4">
        <v>460.0</v>
      </c>
      <c r="J46" s="4" t="s">
        <v>115</v>
      </c>
      <c r="K46" s="8"/>
      <c r="L46" s="8"/>
      <c r="M46" s="8"/>
      <c r="P46" s="8"/>
      <c r="Q46" s="8"/>
      <c r="R46" s="8"/>
    </row>
    <row r="47">
      <c r="A47" s="8"/>
      <c r="D47" s="8"/>
      <c r="E47" s="8"/>
      <c r="K47" s="26"/>
      <c r="L47" s="8"/>
      <c r="M47" s="8"/>
      <c r="P47" s="8"/>
      <c r="Q47" s="8"/>
      <c r="R47" s="8"/>
    </row>
    <row r="48">
      <c r="A48" s="8"/>
      <c r="D48" s="8"/>
      <c r="E48" s="8"/>
      <c r="K48" s="27"/>
      <c r="L48" s="8"/>
      <c r="M48" s="8"/>
      <c r="P48" s="8"/>
      <c r="Q48" s="8"/>
      <c r="R48" s="8"/>
    </row>
    <row r="49">
      <c r="A49" s="8"/>
      <c r="D49" s="8"/>
      <c r="E49" s="8"/>
      <c r="K49" s="11"/>
      <c r="L49" s="8"/>
      <c r="M49" s="8"/>
      <c r="P49" s="8"/>
      <c r="Q49" s="8"/>
      <c r="R49" s="8"/>
    </row>
    <row r="50">
      <c r="A50" s="8"/>
      <c r="D50" s="8"/>
      <c r="E50" s="8"/>
      <c r="K50" s="11"/>
      <c r="L50" s="8"/>
      <c r="M50" s="8"/>
      <c r="P50" s="8"/>
      <c r="Q50" s="8"/>
      <c r="R50" s="8"/>
    </row>
    <row r="51">
      <c r="A51" s="8"/>
      <c r="D51" s="8"/>
      <c r="E51" s="8"/>
      <c r="K51" s="8"/>
      <c r="L51" s="8"/>
      <c r="M51" s="8"/>
      <c r="P51" s="8"/>
      <c r="Q51" s="8"/>
      <c r="R51" s="8"/>
    </row>
    <row r="52">
      <c r="A52" s="8"/>
      <c r="D52" s="8"/>
      <c r="E52" s="8"/>
      <c r="K52" s="8"/>
      <c r="L52" s="8"/>
      <c r="M52" s="8"/>
      <c r="P52" s="8"/>
      <c r="Q52" s="8"/>
      <c r="R52" s="8"/>
    </row>
    <row r="53">
      <c r="A53" s="8"/>
      <c r="D53" s="8"/>
      <c r="E53" s="8"/>
      <c r="K53" s="8"/>
      <c r="L53" s="8"/>
      <c r="M53" s="8"/>
      <c r="P53" s="8"/>
      <c r="Q53" s="8"/>
      <c r="R53" s="8"/>
    </row>
    <row r="54">
      <c r="A54" s="8"/>
      <c r="D54" s="8"/>
      <c r="E54" s="8"/>
      <c r="K54" s="8"/>
      <c r="L54" s="8"/>
      <c r="M54" s="8"/>
      <c r="P54" s="8"/>
      <c r="Q54" s="8"/>
      <c r="R54" s="8"/>
    </row>
    <row r="55">
      <c r="A55" s="8"/>
      <c r="D55" s="8"/>
      <c r="E55" s="8"/>
      <c r="K55" s="8"/>
      <c r="L55" s="8"/>
      <c r="M55" s="8"/>
      <c r="P55" s="8"/>
      <c r="Q55" s="8"/>
      <c r="R55" s="8"/>
    </row>
    <row r="56">
      <c r="A56" s="8"/>
      <c r="D56" s="8"/>
      <c r="E56" s="8"/>
      <c r="K56" s="8"/>
      <c r="L56" s="8"/>
      <c r="M56" s="8"/>
      <c r="P56" s="8"/>
      <c r="Q56" s="8"/>
      <c r="R56" s="8"/>
    </row>
    <row r="57">
      <c r="A57" s="8"/>
      <c r="D57" s="8"/>
      <c r="E57" s="8"/>
      <c r="K57" s="11"/>
      <c r="L57" s="8"/>
      <c r="M57" s="8"/>
      <c r="P57" s="8"/>
      <c r="Q57" s="8"/>
      <c r="R57" s="8"/>
    </row>
    <row r="58">
      <c r="A58" s="8"/>
      <c r="D58" s="8"/>
      <c r="E58" s="8"/>
      <c r="K58" s="11"/>
      <c r="L58" s="8"/>
      <c r="M58" s="8"/>
      <c r="P58" s="8"/>
      <c r="Q58" s="8"/>
      <c r="R58" s="8"/>
    </row>
    <row r="59">
      <c r="A59" s="8"/>
      <c r="D59" s="8"/>
      <c r="E59" s="8"/>
      <c r="K59" s="11"/>
      <c r="L59" s="8"/>
      <c r="M59" s="8"/>
      <c r="P59" s="8"/>
      <c r="Q59" s="8"/>
      <c r="R59" s="8"/>
    </row>
    <row r="60">
      <c r="A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K61" s="8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8"/>
      <c r="I2" s="11"/>
      <c r="J2" s="8"/>
      <c r="K2" s="7" t="s">
        <v>21</v>
      </c>
      <c r="L2" s="8"/>
      <c r="M2" s="8"/>
      <c r="P2" s="8"/>
      <c r="Q2" s="8"/>
      <c r="R2" s="8"/>
    </row>
    <row r="3">
      <c r="A3" s="9" t="s">
        <v>41</v>
      </c>
      <c r="B3" s="8"/>
      <c r="C3" s="7">
        <v>10000.0</v>
      </c>
      <c r="D3" s="11"/>
      <c r="E3" s="13"/>
      <c r="F3" s="11"/>
      <c r="G3" s="8"/>
      <c r="H3" s="8"/>
      <c r="I3" s="11"/>
      <c r="J3" s="7"/>
      <c r="K3" s="7" t="s">
        <v>41</v>
      </c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 t="s">
        <v>116</v>
      </c>
      <c r="I16" s="7">
        <v>600.0</v>
      </c>
      <c r="J16" s="8"/>
      <c r="K16" s="7" t="s">
        <v>117</v>
      </c>
      <c r="L16" s="8"/>
      <c r="M16" s="8"/>
      <c r="P16" s="8"/>
      <c r="Q16" s="8"/>
      <c r="R16" s="8"/>
    </row>
    <row r="17">
      <c r="A17" s="8"/>
      <c r="B17" s="7" t="s">
        <v>118</v>
      </c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"/>
      <c r="C23" s="1"/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8"/>
      <c r="C24" s="11"/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5" t="s">
        <v>3</v>
      </c>
      <c r="C25" s="15" t="s">
        <v>57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6" t="s">
        <v>34</v>
      </c>
      <c r="C26" s="17">
        <f>SUM(I2:I15)</f>
        <v>0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8" t="s">
        <v>59</v>
      </c>
      <c r="C27" s="17">
        <f>SUM(I16:I28)</f>
        <v>600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60</v>
      </c>
      <c r="C28" s="17">
        <f>SUM(I29:I43)</f>
        <v>7084</v>
      </c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 t="s">
        <v>42</v>
      </c>
      <c r="C29" s="17">
        <f>SUM(I44:I60)</f>
        <v>0</v>
      </c>
      <c r="D29" s="8"/>
      <c r="E29" s="8"/>
      <c r="F29" s="11"/>
      <c r="G29" s="4" t="s">
        <v>10</v>
      </c>
      <c r="H29" s="4" t="s">
        <v>120</v>
      </c>
      <c r="I29" s="4">
        <v>280.0</v>
      </c>
      <c r="J29" s="4" t="s">
        <v>63</v>
      </c>
      <c r="K29" s="8"/>
      <c r="L29" s="8"/>
      <c r="M29" s="8"/>
      <c r="P29" s="8"/>
      <c r="Q29" s="8"/>
      <c r="R29" s="8"/>
    </row>
    <row r="30">
      <c r="A30" s="8"/>
      <c r="B30" s="18" t="s">
        <v>61</v>
      </c>
      <c r="C30" s="17"/>
      <c r="D30" s="8"/>
      <c r="E30" s="8"/>
      <c r="F30" s="11"/>
      <c r="H30" s="4" t="s">
        <v>121</v>
      </c>
      <c r="I30" s="4">
        <v>3025.0</v>
      </c>
      <c r="J30" s="4" t="s">
        <v>63</v>
      </c>
      <c r="K30" s="8"/>
      <c r="L30" s="8"/>
      <c r="M30" s="8"/>
      <c r="P30" s="8"/>
      <c r="Q30" s="8"/>
      <c r="R30" s="8"/>
    </row>
    <row r="31">
      <c r="A31" s="8"/>
      <c r="B31" s="19"/>
      <c r="C31" s="17"/>
      <c r="D31" s="8"/>
      <c r="E31" s="8"/>
      <c r="F31" s="11"/>
      <c r="H31" s="4" t="s">
        <v>122</v>
      </c>
      <c r="I31" s="4">
        <v>750.0</v>
      </c>
      <c r="J31" s="4" t="s">
        <v>63</v>
      </c>
      <c r="K31" s="8"/>
      <c r="L31" s="8"/>
      <c r="M31" s="8"/>
      <c r="P31" s="8"/>
      <c r="Q31" s="8"/>
      <c r="R31" s="8"/>
    </row>
    <row r="32">
      <c r="A32" s="8"/>
      <c r="B32" s="20" t="s">
        <v>64</v>
      </c>
      <c r="C32" s="21">
        <f>SUM(I61:I78)</f>
        <v>400</v>
      </c>
      <c r="D32" s="11"/>
      <c r="E32" s="8"/>
      <c r="F32" s="11"/>
      <c r="H32" s="4" t="s">
        <v>124</v>
      </c>
      <c r="I32" s="4">
        <v>3029.0</v>
      </c>
      <c r="J32" s="4" t="s">
        <v>63</v>
      </c>
      <c r="K32" s="8"/>
      <c r="L32" s="8"/>
      <c r="M32" s="8"/>
      <c r="P32" s="8"/>
      <c r="Q32" s="8"/>
      <c r="R32" s="8"/>
    </row>
    <row r="33">
      <c r="A33" s="8"/>
      <c r="B33" s="16" t="s">
        <v>38</v>
      </c>
      <c r="C33" s="17">
        <f>SUM(I79:I93)</f>
        <v>800</v>
      </c>
      <c r="D33" s="8"/>
      <c r="E33" s="8"/>
      <c r="F33" s="11"/>
      <c r="K33" s="8"/>
      <c r="L33" s="8"/>
      <c r="M33" s="8"/>
      <c r="P33" s="8"/>
      <c r="Q33" s="8"/>
      <c r="R33" s="8"/>
    </row>
    <row r="34">
      <c r="A34" s="8"/>
      <c r="B34" s="19"/>
      <c r="C34" s="17"/>
      <c r="D34" s="8"/>
      <c r="E34" s="8"/>
      <c r="F34" s="11"/>
      <c r="K34" s="8"/>
      <c r="L34" s="8"/>
      <c r="M34" s="8"/>
      <c r="P34" s="8"/>
      <c r="Q34" s="8"/>
      <c r="R34" s="8"/>
    </row>
    <row r="35">
      <c r="A35" s="8"/>
      <c r="B35" s="16"/>
      <c r="C35" s="17"/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22" t="s">
        <v>57</v>
      </c>
      <c r="C36" s="23">
        <f>SUM(C26:C35)</f>
        <v>8884</v>
      </c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7" t="s">
        <v>70</v>
      </c>
      <c r="C37" s="8">
        <f>SUM(C26:C30)</f>
        <v>7684</v>
      </c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/>
      <c r="C39" s="5"/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K44" s="8"/>
      <c r="L44" s="8"/>
      <c r="M44" s="8"/>
      <c r="P44" s="8"/>
      <c r="Q44" s="8"/>
      <c r="R44" s="8"/>
    </row>
    <row r="45">
      <c r="A45" s="8"/>
      <c r="D45" s="8"/>
      <c r="E45" s="8"/>
      <c r="F45" s="11"/>
      <c r="K45" s="8"/>
      <c r="L45" s="8"/>
      <c r="M45" s="8"/>
      <c r="P45" s="8"/>
      <c r="Q45" s="8"/>
      <c r="R45" s="8"/>
    </row>
    <row r="46">
      <c r="A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D47" s="8"/>
      <c r="E47" s="8"/>
      <c r="K47" s="26"/>
      <c r="L47" s="8"/>
      <c r="M47" s="8"/>
      <c r="P47" s="8"/>
      <c r="Q47" s="8"/>
      <c r="R47" s="8"/>
    </row>
    <row r="48">
      <c r="A48" s="8"/>
      <c r="D48" s="8"/>
      <c r="E48" s="8"/>
      <c r="K48" s="27"/>
      <c r="L48" s="8"/>
      <c r="M48" s="8"/>
      <c r="P48" s="8"/>
      <c r="Q48" s="8"/>
      <c r="R48" s="8"/>
    </row>
    <row r="49">
      <c r="A49" s="8"/>
      <c r="D49" s="8"/>
      <c r="E49" s="8"/>
      <c r="K49" s="11"/>
      <c r="L49" s="8"/>
      <c r="M49" s="8"/>
      <c r="P49" s="8"/>
      <c r="Q49" s="8"/>
      <c r="R49" s="8"/>
    </row>
    <row r="50">
      <c r="A50" s="8"/>
      <c r="D50" s="8"/>
      <c r="E50" s="8"/>
      <c r="K50" s="11"/>
      <c r="L50" s="8"/>
      <c r="M50" s="8"/>
      <c r="P50" s="8"/>
      <c r="Q50" s="8"/>
      <c r="R50" s="8"/>
    </row>
    <row r="51">
      <c r="A51" s="8"/>
      <c r="D51" s="8"/>
      <c r="E51" s="8"/>
      <c r="K51" s="8"/>
      <c r="L51" s="8"/>
      <c r="M51" s="8"/>
      <c r="P51" s="8"/>
      <c r="Q51" s="8"/>
      <c r="R51" s="8"/>
    </row>
    <row r="52">
      <c r="A52" s="8"/>
      <c r="D52" s="8"/>
      <c r="E52" s="8"/>
      <c r="K52" s="8"/>
      <c r="L52" s="8"/>
      <c r="M52" s="8"/>
      <c r="P52" s="8"/>
      <c r="Q52" s="8"/>
      <c r="R52" s="8"/>
    </row>
    <row r="53">
      <c r="A53" s="8"/>
      <c r="D53" s="8"/>
      <c r="E53" s="8"/>
      <c r="K53" s="8"/>
      <c r="L53" s="8"/>
      <c r="M53" s="8"/>
      <c r="P53" s="8"/>
      <c r="Q53" s="8"/>
      <c r="R53" s="8"/>
    </row>
    <row r="54">
      <c r="A54" s="8"/>
      <c r="D54" s="8"/>
      <c r="E54" s="8"/>
      <c r="K54" s="8"/>
      <c r="L54" s="8"/>
      <c r="M54" s="8"/>
      <c r="P54" s="8"/>
      <c r="Q54" s="8"/>
      <c r="R54" s="8"/>
    </row>
    <row r="55">
      <c r="A55" s="8"/>
      <c r="D55" s="8"/>
      <c r="E55" s="8"/>
      <c r="K55" s="8"/>
      <c r="L55" s="8"/>
      <c r="M55" s="8"/>
      <c r="P55" s="8"/>
      <c r="Q55" s="8"/>
      <c r="R55" s="8"/>
    </row>
    <row r="56">
      <c r="A56" s="8"/>
      <c r="D56" s="8"/>
      <c r="E56" s="8"/>
      <c r="K56" s="8"/>
      <c r="L56" s="8"/>
      <c r="M56" s="8"/>
      <c r="P56" s="8"/>
      <c r="Q56" s="8"/>
      <c r="R56" s="8"/>
    </row>
    <row r="57">
      <c r="A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137</v>
      </c>
      <c r="I61" s="4">
        <v>400.0</v>
      </c>
      <c r="J61" s="4" t="s">
        <v>100</v>
      </c>
      <c r="K61" s="8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H62" s="4"/>
      <c r="J62" s="4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H79" s="4" t="s">
        <v>141</v>
      </c>
      <c r="I79" s="4">
        <v>800.0</v>
      </c>
      <c r="J79" s="4" t="s">
        <v>63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8"/>
      <c r="I2" s="11"/>
      <c r="J2" s="8"/>
      <c r="K2" s="7" t="s">
        <v>21</v>
      </c>
      <c r="L2" s="8"/>
      <c r="M2" s="8"/>
      <c r="P2" s="8"/>
      <c r="Q2" s="8"/>
      <c r="R2" s="8"/>
    </row>
    <row r="3">
      <c r="A3" s="9" t="s">
        <v>41</v>
      </c>
      <c r="B3" s="8"/>
      <c r="C3" s="7"/>
      <c r="D3" s="11"/>
      <c r="E3" s="13"/>
      <c r="F3" s="11"/>
      <c r="G3" s="8"/>
      <c r="H3" s="8"/>
      <c r="I3" s="11"/>
      <c r="J3" s="7"/>
      <c r="K3" s="7" t="s">
        <v>41</v>
      </c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8"/>
      <c r="I16" s="8"/>
      <c r="J16" s="8"/>
      <c r="K16" s="8"/>
      <c r="L16" s="8"/>
      <c r="M16" s="8"/>
      <c r="P16" s="8"/>
      <c r="Q16" s="8"/>
      <c r="R16" s="8"/>
    </row>
    <row r="17">
      <c r="A17" s="8"/>
      <c r="B17" s="7" t="s">
        <v>118</v>
      </c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7" t="s">
        <v>119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SUM(I2)</f>
        <v>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7663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4000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125</v>
      </c>
      <c r="I29" s="4">
        <v>1990.0</v>
      </c>
      <c r="J29" s="4" t="s">
        <v>126</v>
      </c>
      <c r="K29" s="8"/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2830</v>
      </c>
      <c r="D30" s="8"/>
      <c r="E30" s="8"/>
      <c r="F30" s="11"/>
      <c r="H30" s="4" t="s">
        <v>127</v>
      </c>
      <c r="I30" s="4">
        <v>880.0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0</v>
      </c>
      <c r="D31" s="8"/>
      <c r="E31" s="8"/>
      <c r="F31" s="11"/>
      <c r="H31" s="4" t="s">
        <v>128</v>
      </c>
      <c r="I31" s="4">
        <v>2400.0</v>
      </c>
      <c r="J31" s="4" t="s">
        <v>129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130</v>
      </c>
      <c r="I32" s="4">
        <v>900.0</v>
      </c>
      <c r="J32" s="4" t="s">
        <v>131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H33" s="4" t="s">
        <v>132</v>
      </c>
      <c r="I33" s="4">
        <v>450.0</v>
      </c>
      <c r="J33" s="4" t="s">
        <v>131</v>
      </c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14493</v>
      </c>
      <c r="D34" s="8"/>
      <c r="E34" s="8"/>
      <c r="F34" s="11"/>
      <c r="H34" s="4" t="s">
        <v>133</v>
      </c>
      <c r="I34" s="4">
        <v>1043.0</v>
      </c>
      <c r="J34" s="4" t="s">
        <v>75</v>
      </c>
      <c r="K34" s="7" t="s">
        <v>134</v>
      </c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11663</v>
      </c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/>
      <c r="C39" s="5"/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135</v>
      </c>
      <c r="I44" s="4">
        <v>4000.0</v>
      </c>
      <c r="J44" s="4" t="s">
        <v>82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138</v>
      </c>
      <c r="I61" s="4">
        <v>2830.0</v>
      </c>
      <c r="J61" s="4" t="s">
        <v>139</v>
      </c>
      <c r="K61" s="8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7" t="s">
        <v>123</v>
      </c>
      <c r="I2" s="9">
        <v>880.0</v>
      </c>
      <c r="J2" s="7" t="s">
        <v>2</v>
      </c>
      <c r="K2" s="7" t="s">
        <v>21</v>
      </c>
      <c r="L2" s="8"/>
      <c r="M2" s="8"/>
      <c r="P2" s="8"/>
      <c r="Q2" s="8"/>
      <c r="R2" s="8"/>
    </row>
    <row r="3">
      <c r="A3" s="9" t="s">
        <v>41</v>
      </c>
      <c r="B3" s="8"/>
      <c r="C3" s="7"/>
      <c r="D3" s="11"/>
      <c r="E3" s="13"/>
      <c r="F3" s="11"/>
      <c r="G3" s="8"/>
      <c r="H3" s="8"/>
      <c r="I3" s="11"/>
      <c r="J3" s="7"/>
      <c r="K3" s="7" t="s">
        <v>41</v>
      </c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 t="s">
        <v>136</v>
      </c>
      <c r="I16" s="7">
        <v>4800.0</v>
      </c>
      <c r="J16" s="8"/>
      <c r="K16" s="7" t="s">
        <v>82</v>
      </c>
      <c r="L16" s="8"/>
      <c r="M16" s="8"/>
      <c r="P16" s="8"/>
      <c r="Q16" s="8"/>
      <c r="R16" s="8"/>
    </row>
    <row r="17">
      <c r="A17" s="8"/>
      <c r="B17" s="7" t="s">
        <v>118</v>
      </c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SUM(I2)</f>
        <v>880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4800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6240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2480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140</v>
      </c>
      <c r="I29" s="4">
        <v>120.0</v>
      </c>
      <c r="K29" s="7" t="s">
        <v>100</v>
      </c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440</v>
      </c>
      <c r="D30" s="8"/>
      <c r="E30" s="8"/>
      <c r="F30" s="11"/>
      <c r="H30" s="4" t="s">
        <v>142</v>
      </c>
      <c r="I30" s="4">
        <v>1990.0</v>
      </c>
      <c r="J30" s="4" t="s">
        <v>100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0</v>
      </c>
      <c r="D31" s="8"/>
      <c r="E31" s="8"/>
      <c r="F31" s="11"/>
      <c r="H31" s="4" t="s">
        <v>143</v>
      </c>
      <c r="I31" s="4">
        <v>1065.0</v>
      </c>
      <c r="J31" s="4" t="s">
        <v>110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144</v>
      </c>
      <c r="I32" s="4">
        <v>3065.0</v>
      </c>
      <c r="J32" s="4" t="s">
        <v>110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14840</v>
      </c>
      <c r="D34" s="8"/>
      <c r="E34" s="8"/>
      <c r="F34" s="11"/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14400</v>
      </c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0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146</v>
      </c>
      <c r="I44" s="4">
        <v>1600.0</v>
      </c>
      <c r="K44" s="7" t="s">
        <v>147</v>
      </c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148</v>
      </c>
      <c r="I45" s="4">
        <v>880.0</v>
      </c>
      <c r="K45" s="7" t="s">
        <v>147</v>
      </c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149</v>
      </c>
      <c r="I61" s="4">
        <v>440.0</v>
      </c>
      <c r="K61" s="7" t="s">
        <v>75</v>
      </c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7" t="s">
        <v>150</v>
      </c>
      <c r="I2" s="9">
        <v>500.0</v>
      </c>
      <c r="J2" s="8"/>
      <c r="K2" s="7" t="s">
        <v>126</v>
      </c>
      <c r="L2" s="8"/>
      <c r="M2" s="8"/>
      <c r="P2" s="8"/>
      <c r="Q2" s="8"/>
      <c r="R2" s="8"/>
    </row>
    <row r="3">
      <c r="A3" s="9" t="s">
        <v>41</v>
      </c>
      <c r="B3" s="8"/>
      <c r="C3" s="7"/>
      <c r="D3" s="11"/>
      <c r="E3" s="13"/>
      <c r="F3" s="11"/>
      <c r="G3" s="8"/>
      <c r="H3" s="7" t="s">
        <v>151</v>
      </c>
      <c r="I3" s="9">
        <v>400.0</v>
      </c>
      <c r="J3" s="7"/>
      <c r="K3" s="7" t="s">
        <v>100</v>
      </c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7" t="s">
        <v>152</v>
      </c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 t="s">
        <v>153</v>
      </c>
      <c r="I16" s="7">
        <v>1000.0</v>
      </c>
      <c r="J16" s="8"/>
      <c r="K16" s="7" t="s">
        <v>154</v>
      </c>
      <c r="L16" s="8"/>
      <c r="M16" s="8"/>
      <c r="P16" s="8"/>
      <c r="Q16" s="8"/>
      <c r="R16" s="8"/>
    </row>
    <row r="17">
      <c r="A17" s="8"/>
      <c r="B17" s="7" t="s">
        <v>118</v>
      </c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SUM(I2,I3)</f>
        <v>900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1000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6140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6120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140</v>
      </c>
      <c r="I29" s="4">
        <v>140.0</v>
      </c>
      <c r="J29" s="4" t="s">
        <v>100</v>
      </c>
      <c r="K29" s="8"/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4990</v>
      </c>
      <c r="D30" s="8"/>
      <c r="E30" s="8"/>
      <c r="F30" s="11"/>
      <c r="H30" s="4" t="s">
        <v>155</v>
      </c>
      <c r="I30" s="4">
        <v>3100.0</v>
      </c>
      <c r="J30" s="4" t="s">
        <v>129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0</v>
      </c>
      <c r="D31" s="8"/>
      <c r="E31" s="8"/>
      <c r="F31" s="11"/>
      <c r="H31" s="4" t="s">
        <v>156</v>
      </c>
      <c r="I31" s="4">
        <v>300.0</v>
      </c>
      <c r="J31" s="4" t="s">
        <v>100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157</v>
      </c>
      <c r="I32" s="4">
        <v>500.0</v>
      </c>
      <c r="J32" s="4" t="s">
        <v>126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H33" s="4" t="s">
        <v>158</v>
      </c>
      <c r="I33" s="4">
        <v>2100.0</v>
      </c>
      <c r="J33" s="4" t="s">
        <v>126</v>
      </c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19150</v>
      </c>
      <c r="D34" s="8"/>
      <c r="E34" s="8"/>
      <c r="F34" s="11"/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14160</v>
      </c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0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159</v>
      </c>
      <c r="I44" s="4">
        <v>1560.0</v>
      </c>
      <c r="J44" s="4" t="s">
        <v>113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160</v>
      </c>
      <c r="I45" s="4">
        <v>3200.0</v>
      </c>
      <c r="J45" s="4" t="s">
        <v>113</v>
      </c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H46" s="4" t="s">
        <v>161</v>
      </c>
      <c r="I46" s="4">
        <v>1360.0</v>
      </c>
      <c r="J46" s="4" t="s">
        <v>113</v>
      </c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164</v>
      </c>
      <c r="I61" s="4">
        <v>4000.0</v>
      </c>
      <c r="J61" s="4" t="s">
        <v>129</v>
      </c>
      <c r="K61" s="7" t="s">
        <v>165</v>
      </c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H62" s="4" t="s">
        <v>166</v>
      </c>
      <c r="I62" s="4">
        <v>990.0</v>
      </c>
      <c r="J62" s="4" t="s">
        <v>129</v>
      </c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7"/>
      <c r="I2" s="9"/>
      <c r="J2" s="8"/>
      <c r="K2" s="7"/>
      <c r="L2" s="8"/>
      <c r="M2" s="8"/>
      <c r="P2" s="8"/>
      <c r="Q2" s="8"/>
      <c r="R2" s="8"/>
    </row>
    <row r="3">
      <c r="A3" s="9"/>
      <c r="B3" s="8"/>
      <c r="C3" s="7"/>
      <c r="D3" s="11"/>
      <c r="E3" s="13"/>
      <c r="F3" s="11"/>
      <c r="G3" s="8"/>
      <c r="H3" s="8"/>
      <c r="I3" s="11"/>
      <c r="J3" s="7"/>
      <c r="K3" s="7"/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7" t="s">
        <v>162</v>
      </c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 t="s">
        <v>163</v>
      </c>
      <c r="I16" s="7">
        <v>640.0</v>
      </c>
      <c r="J16" s="8"/>
      <c r="K16" s="7" t="s">
        <v>129</v>
      </c>
      <c r="L16" s="8"/>
      <c r="M16" s="8"/>
      <c r="P16" s="8"/>
      <c r="Q16" s="8"/>
      <c r="R16" s="8"/>
    </row>
    <row r="17">
      <c r="A17" s="8"/>
      <c r="B17" s="7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SUM(I2)</f>
        <v>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640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9715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2600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167</v>
      </c>
      <c r="I29" s="4">
        <v>4625.0</v>
      </c>
      <c r="J29" s="4" t="s">
        <v>168</v>
      </c>
      <c r="K29" s="8"/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0</v>
      </c>
      <c r="D30" s="8"/>
      <c r="E30" s="8"/>
      <c r="F30" s="11"/>
      <c r="H30" s="4" t="s">
        <v>169</v>
      </c>
      <c r="I30" s="4">
        <v>350.0</v>
      </c>
      <c r="J30" s="4" t="s">
        <v>63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0</v>
      </c>
      <c r="D31" s="8"/>
      <c r="E31" s="8"/>
      <c r="F31" s="11"/>
      <c r="H31" s="4" t="s">
        <v>170</v>
      </c>
      <c r="I31" s="4">
        <v>675.0</v>
      </c>
      <c r="J31" s="4" t="s">
        <v>117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171</v>
      </c>
      <c r="I32" s="4">
        <v>4065.0</v>
      </c>
      <c r="K32" s="7" t="s">
        <v>172</v>
      </c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12955</v>
      </c>
      <c r="D34" s="8"/>
      <c r="E34" s="8"/>
      <c r="F34" s="11"/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12955</v>
      </c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0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173</v>
      </c>
      <c r="I44" s="4">
        <v>1600.0</v>
      </c>
      <c r="J44" s="4" t="s">
        <v>129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174</v>
      </c>
      <c r="I45" s="4">
        <v>1000.0</v>
      </c>
      <c r="J45" s="4" t="s">
        <v>63</v>
      </c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K61" s="7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7"/>
      <c r="I2" s="9"/>
      <c r="J2" s="8"/>
      <c r="K2" s="7"/>
      <c r="L2" s="8"/>
      <c r="M2" s="8"/>
      <c r="P2" s="8"/>
      <c r="Q2" s="8"/>
      <c r="R2" s="8"/>
    </row>
    <row r="3">
      <c r="A3" s="9"/>
      <c r="B3" s="8"/>
      <c r="C3" s="7"/>
      <c r="D3" s="11"/>
      <c r="E3" s="13"/>
      <c r="F3" s="11"/>
      <c r="G3" s="8"/>
      <c r="H3" s="8"/>
      <c r="I3" s="11"/>
      <c r="J3" s="7"/>
      <c r="K3" s="7"/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7" t="s">
        <v>175</v>
      </c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B16" s="4" t="s">
        <v>176</v>
      </c>
      <c r="E16" s="8"/>
      <c r="F16" s="8"/>
      <c r="G16" s="7" t="s">
        <v>39</v>
      </c>
      <c r="H16" s="7" t="s">
        <v>177</v>
      </c>
      <c r="I16" s="7">
        <v>800.0</v>
      </c>
      <c r="J16" s="7" t="s">
        <v>2</v>
      </c>
      <c r="K16" s="7"/>
      <c r="L16" s="8"/>
      <c r="M16" s="8"/>
      <c r="P16" s="8"/>
      <c r="Q16" s="8"/>
      <c r="R16" s="8"/>
    </row>
    <row r="17">
      <c r="A17" s="8"/>
      <c r="B17" s="7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SUM(I2)</f>
        <v>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800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6776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8140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178</v>
      </c>
      <c r="I29" s="4">
        <v>440.0</v>
      </c>
      <c r="K29" s="7" t="s">
        <v>179</v>
      </c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20411</v>
      </c>
      <c r="D30" s="8"/>
      <c r="E30" s="8"/>
      <c r="F30" s="11"/>
      <c r="H30" s="4" t="s">
        <v>180</v>
      </c>
      <c r="I30" s="4">
        <v>950.0</v>
      </c>
      <c r="J30" s="4" t="s">
        <v>129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0</v>
      </c>
      <c r="D31" s="8"/>
      <c r="E31" s="8"/>
      <c r="F31" s="11"/>
      <c r="H31" s="4" t="s">
        <v>181</v>
      </c>
      <c r="I31" s="4">
        <v>330.0</v>
      </c>
      <c r="J31" s="4" t="s">
        <v>129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182</v>
      </c>
      <c r="I32" s="4">
        <v>1445.0</v>
      </c>
      <c r="J32" s="4" t="s">
        <v>183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H33" s="4" t="s">
        <v>184</v>
      </c>
      <c r="I33" s="4">
        <v>550.0</v>
      </c>
      <c r="J33" s="4" t="s">
        <v>185</v>
      </c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36127</v>
      </c>
      <c r="D34" s="8"/>
      <c r="E34" s="8"/>
      <c r="F34" s="11"/>
      <c r="H34" s="4" t="s">
        <v>186</v>
      </c>
      <c r="I34" s="4">
        <v>1035.0</v>
      </c>
      <c r="J34" s="4" t="s">
        <v>185</v>
      </c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15716</v>
      </c>
      <c r="D35" s="8"/>
      <c r="E35" s="8"/>
      <c r="F35" s="11"/>
      <c r="H35" s="4" t="s">
        <v>187</v>
      </c>
      <c r="I35" s="4">
        <v>1026.0</v>
      </c>
      <c r="J35" s="4" t="s">
        <v>185</v>
      </c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H36" s="4" t="s">
        <v>188</v>
      </c>
      <c r="I36" s="4">
        <v>1000.0</v>
      </c>
      <c r="J36" s="4" t="s">
        <v>63</v>
      </c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0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189</v>
      </c>
      <c r="I44" s="4">
        <v>8140.0</v>
      </c>
      <c r="J44" s="4" t="s">
        <v>63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190</v>
      </c>
      <c r="I61" s="4">
        <v>290.0</v>
      </c>
      <c r="J61" s="4" t="s">
        <v>129</v>
      </c>
      <c r="K61" s="7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H62" s="4" t="s">
        <v>192</v>
      </c>
      <c r="I62" s="4">
        <v>3681.0</v>
      </c>
      <c r="J62" s="4" t="s">
        <v>193</v>
      </c>
      <c r="K62" s="7" t="s">
        <v>194</v>
      </c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H63" s="4" t="s">
        <v>109</v>
      </c>
      <c r="I63" s="4">
        <v>9325.0</v>
      </c>
      <c r="J63" s="4" t="s">
        <v>185</v>
      </c>
      <c r="K63" s="7" t="s">
        <v>195</v>
      </c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H64" s="4" t="s">
        <v>196</v>
      </c>
      <c r="I64" s="4">
        <v>5990.0</v>
      </c>
      <c r="J64" s="4" t="s">
        <v>193</v>
      </c>
      <c r="K64" s="4" t="s">
        <v>194</v>
      </c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H65" s="4" t="s">
        <v>197</v>
      </c>
      <c r="I65" s="4">
        <v>1125.0</v>
      </c>
      <c r="J65" s="4" t="s">
        <v>63</v>
      </c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7"/>
      <c r="I2" s="9"/>
      <c r="J2" s="8"/>
      <c r="K2" s="7"/>
      <c r="L2" s="8"/>
      <c r="M2" s="8"/>
      <c r="P2" s="8"/>
      <c r="Q2" s="8"/>
      <c r="R2" s="8"/>
    </row>
    <row r="3">
      <c r="A3" s="9"/>
      <c r="B3" s="8"/>
      <c r="C3" s="7"/>
      <c r="D3" s="11"/>
      <c r="E3" s="13"/>
      <c r="F3" s="11"/>
      <c r="G3" s="8"/>
      <c r="H3" s="8"/>
      <c r="I3" s="11"/>
      <c r="J3" s="7"/>
      <c r="K3" s="7"/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 t="s">
        <v>191</v>
      </c>
      <c r="I16" s="7">
        <v>1600.0</v>
      </c>
      <c r="J16" s="8"/>
      <c r="K16" s="7" t="s">
        <v>193</v>
      </c>
      <c r="L16" s="8"/>
      <c r="M16" s="8"/>
      <c r="P16" s="8"/>
      <c r="Q16" s="8"/>
      <c r="R16" s="8"/>
    </row>
    <row r="17">
      <c r="A17" s="8"/>
      <c r="B17" s="7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SUm(I2)</f>
        <v>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1600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6710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198</v>
      </c>
      <c r="I29" s="4">
        <v>2200.0</v>
      </c>
      <c r="J29" s="4" t="s">
        <v>193</v>
      </c>
      <c r="K29" s="8"/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0</v>
      </c>
      <c r="D30" s="8"/>
      <c r="E30" s="8"/>
      <c r="F30" s="11"/>
      <c r="H30" s="4" t="s">
        <v>199</v>
      </c>
      <c r="I30" s="4">
        <v>780.0</v>
      </c>
      <c r="J30" s="4" t="s">
        <v>193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348</v>
      </c>
      <c r="D31" s="8"/>
      <c r="E31" s="8"/>
      <c r="F31" s="11"/>
      <c r="H31" s="4" t="s">
        <v>200</v>
      </c>
      <c r="I31" s="4">
        <v>220.0</v>
      </c>
      <c r="J31" s="4" t="s">
        <v>193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201</v>
      </c>
      <c r="I32" s="4">
        <v>3030.0</v>
      </c>
      <c r="J32" s="4" t="s">
        <v>193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H33" s="4" t="s">
        <v>77</v>
      </c>
      <c r="I33" s="4">
        <v>480.0</v>
      </c>
      <c r="J33" s="4" t="s">
        <v>193</v>
      </c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8658</v>
      </c>
      <c r="D34" s="8"/>
      <c r="E34" s="8"/>
      <c r="F34" s="11"/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8310</v>
      </c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0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K61" s="7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H79" s="4" t="s">
        <v>202</v>
      </c>
      <c r="I79" s="4">
        <v>348.0</v>
      </c>
      <c r="J79" s="4" t="s">
        <v>193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7"/>
      <c r="I2" s="9"/>
      <c r="J2" s="8"/>
      <c r="K2" s="7"/>
      <c r="L2" s="8"/>
      <c r="M2" s="8"/>
      <c r="P2" s="8"/>
      <c r="Q2" s="8"/>
      <c r="R2" s="8"/>
    </row>
    <row r="3">
      <c r="A3" s="9"/>
      <c r="B3" s="8"/>
      <c r="C3" s="7"/>
      <c r="D3" s="11"/>
      <c r="E3" s="13"/>
      <c r="F3" s="11"/>
      <c r="G3" s="8"/>
      <c r="H3" s="8"/>
      <c r="I3" s="11"/>
      <c r="J3" s="7"/>
      <c r="K3" s="7"/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/>
      <c r="I16" s="7"/>
      <c r="J16" s="8"/>
      <c r="K16" s="7"/>
      <c r="L16" s="8"/>
      <c r="M16" s="8"/>
      <c r="P16" s="8"/>
      <c r="Q16" s="8"/>
      <c r="R16" s="8"/>
    </row>
    <row r="17">
      <c r="A17" s="8"/>
      <c r="B17" s="7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SUM(I2)</f>
        <v>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6300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1380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204</v>
      </c>
      <c r="I29" s="4">
        <v>2100.0</v>
      </c>
      <c r="J29" s="4" t="s">
        <v>193</v>
      </c>
      <c r="K29" s="8"/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700</v>
      </c>
      <c r="D30" s="8"/>
      <c r="E30" s="8"/>
      <c r="F30" s="11"/>
      <c r="H30" s="4" t="s">
        <v>207</v>
      </c>
      <c r="I30" s="4">
        <v>2100.0</v>
      </c>
      <c r="J30" s="4" t="s">
        <v>193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0</v>
      </c>
      <c r="D31" s="8"/>
      <c r="E31" s="8"/>
      <c r="F31" s="11"/>
      <c r="H31" s="4" t="s">
        <v>211</v>
      </c>
      <c r="I31" s="4">
        <v>1800.0</v>
      </c>
      <c r="J31" s="4" t="s">
        <v>212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214</v>
      </c>
      <c r="I32" s="4">
        <v>300.0</v>
      </c>
      <c r="J32" s="4" t="s">
        <v>63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8380</v>
      </c>
      <c r="D34" s="8"/>
      <c r="E34" s="8"/>
      <c r="F34" s="11"/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7680</v>
      </c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0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219</v>
      </c>
      <c r="I44" s="4">
        <v>780.0</v>
      </c>
      <c r="J44" s="4" t="s">
        <v>220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221</v>
      </c>
      <c r="I45" s="4">
        <v>600.0</v>
      </c>
      <c r="J45" s="4" t="s">
        <v>220</v>
      </c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224</v>
      </c>
      <c r="I61" s="4">
        <v>700.0</v>
      </c>
      <c r="J61" s="4" t="s">
        <v>63</v>
      </c>
      <c r="K61" s="7" t="s">
        <v>54</v>
      </c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J2" s="8"/>
      <c r="K2" s="7" t="s">
        <v>78</v>
      </c>
      <c r="L2" s="8"/>
      <c r="M2" s="8"/>
      <c r="P2" s="8"/>
      <c r="Q2" s="8"/>
      <c r="R2" s="8"/>
    </row>
    <row r="3">
      <c r="A3" s="9"/>
      <c r="B3" s="8"/>
      <c r="C3" s="7"/>
      <c r="D3" s="11"/>
      <c r="E3" s="13"/>
      <c r="F3" s="11"/>
      <c r="G3" s="8"/>
      <c r="H3" s="8"/>
      <c r="I3" s="11"/>
      <c r="J3" s="7"/>
      <c r="K3" s="7"/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 t="s">
        <v>203</v>
      </c>
      <c r="I16" s="7">
        <v>600.0</v>
      </c>
      <c r="J16" s="8"/>
      <c r="K16" s="7" t="s">
        <v>63</v>
      </c>
      <c r="L16" s="8"/>
      <c r="M16" s="8"/>
      <c r="P16" s="8"/>
      <c r="Q16" s="8"/>
      <c r="R16" s="8"/>
    </row>
    <row r="17">
      <c r="A17" s="8"/>
      <c r="B17" s="7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SUM(I36)</f>
        <v>360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600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8020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2540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205</v>
      </c>
      <c r="I29" s="4">
        <v>1880.0</v>
      </c>
      <c r="J29" s="4" t="s">
        <v>193</v>
      </c>
      <c r="K29" s="8"/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36200</v>
      </c>
      <c r="D30" s="8"/>
      <c r="E30" s="8"/>
      <c r="F30" s="11"/>
      <c r="H30" s="4" t="s">
        <v>206</v>
      </c>
      <c r="I30" s="4">
        <v>400.0</v>
      </c>
      <c r="J30" s="4" t="s">
        <v>193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1050</v>
      </c>
      <c r="D31" s="8"/>
      <c r="E31" s="8"/>
      <c r="F31" s="11"/>
      <c r="H31" s="4" t="s">
        <v>208</v>
      </c>
      <c r="I31" s="4">
        <v>3300.0</v>
      </c>
      <c r="J31" s="4" t="s">
        <v>209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210</v>
      </c>
      <c r="I32" s="4">
        <v>200.0</v>
      </c>
      <c r="J32" s="4" t="s">
        <v>63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H33" s="4" t="s">
        <v>213</v>
      </c>
      <c r="I33" s="4">
        <v>700.0</v>
      </c>
      <c r="J33" s="4" t="s">
        <v>209</v>
      </c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48770</v>
      </c>
      <c r="D34" s="8"/>
      <c r="E34" s="8"/>
      <c r="F34" s="11"/>
      <c r="H34" s="4" t="s">
        <v>215</v>
      </c>
      <c r="I34" s="4">
        <v>805.0</v>
      </c>
      <c r="J34" s="4" t="s">
        <v>185</v>
      </c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11520</v>
      </c>
      <c r="D35" s="8"/>
      <c r="E35" s="8"/>
      <c r="F35" s="11"/>
      <c r="H35" s="4" t="s">
        <v>216</v>
      </c>
      <c r="I35" s="4">
        <v>375.0</v>
      </c>
      <c r="J35" s="4" t="s">
        <v>185</v>
      </c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H36" s="7" t="s">
        <v>140</v>
      </c>
      <c r="I36" s="9">
        <v>360.0</v>
      </c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0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217</v>
      </c>
      <c r="I44" s="4">
        <v>1900.0</v>
      </c>
      <c r="J44" s="4" t="s">
        <v>78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218</v>
      </c>
      <c r="I45" s="4">
        <v>640.0</v>
      </c>
      <c r="J45" s="4" t="s">
        <v>78</v>
      </c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222</v>
      </c>
      <c r="I61" s="4">
        <v>200.0</v>
      </c>
      <c r="J61" s="4" t="s">
        <v>63</v>
      </c>
      <c r="K61" s="7" t="s">
        <v>54</v>
      </c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H62" s="4" t="s">
        <v>223</v>
      </c>
      <c r="I62" s="4">
        <v>36000.0</v>
      </c>
      <c r="J62" s="4" t="s">
        <v>193</v>
      </c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H79" s="4" t="s">
        <v>225</v>
      </c>
      <c r="I79" s="4">
        <v>1050.0</v>
      </c>
      <c r="J79" s="4" t="s">
        <v>91</v>
      </c>
      <c r="K79" s="7" t="s">
        <v>226</v>
      </c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7"/>
      <c r="I2" s="9"/>
      <c r="J2" s="8"/>
      <c r="K2" s="7"/>
      <c r="L2" s="8"/>
      <c r="M2" s="8"/>
      <c r="P2" s="8"/>
      <c r="Q2" s="8"/>
      <c r="R2" s="8"/>
    </row>
    <row r="3">
      <c r="A3" s="9"/>
      <c r="B3" s="8"/>
      <c r="C3" s="7"/>
      <c r="D3" s="11"/>
      <c r="E3" s="13"/>
      <c r="F3" s="11"/>
      <c r="G3" s="8"/>
      <c r="H3" s="8"/>
      <c r="I3" s="11"/>
      <c r="J3" s="7"/>
      <c r="K3" s="7"/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/>
      <c r="I16" s="7"/>
      <c r="J16" s="8"/>
      <c r="K16" s="7"/>
      <c r="L16" s="8"/>
      <c r="M16" s="8"/>
      <c r="P16" s="8"/>
      <c r="Q16" s="8"/>
      <c r="R16" s="8"/>
    </row>
    <row r="17">
      <c r="A17" s="8"/>
      <c r="B17" s="7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SUM(I2)</f>
        <v>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9255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800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227</v>
      </c>
      <c r="I29" s="4">
        <v>1850.0</v>
      </c>
      <c r="J29" s="4" t="s">
        <v>117</v>
      </c>
      <c r="K29" s="8"/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41420</v>
      </c>
      <c r="D30" s="8"/>
      <c r="E30" s="8"/>
      <c r="F30" s="11"/>
      <c r="H30" s="4" t="s">
        <v>228</v>
      </c>
      <c r="I30" s="4">
        <v>2800.0</v>
      </c>
      <c r="J30" s="4" t="s">
        <v>63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0</v>
      </c>
      <c r="D31" s="8"/>
      <c r="E31" s="8"/>
      <c r="F31" s="11"/>
      <c r="H31" s="4" t="s">
        <v>229</v>
      </c>
      <c r="I31" s="4">
        <v>1965.0</v>
      </c>
      <c r="J31" s="4" t="s">
        <v>63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230</v>
      </c>
      <c r="I32" s="4">
        <v>1460.0</v>
      </c>
      <c r="J32" s="4" t="s">
        <v>193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H33" s="4" t="s">
        <v>231</v>
      </c>
      <c r="I33" s="4">
        <v>880.0</v>
      </c>
      <c r="J33" s="4" t="s">
        <v>117</v>
      </c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51475</v>
      </c>
      <c r="D34" s="8"/>
      <c r="E34" s="8"/>
      <c r="F34" s="11"/>
      <c r="H34" s="4" t="s">
        <v>232</v>
      </c>
      <c r="I34" s="4">
        <v>300.0</v>
      </c>
      <c r="J34" s="4" t="s">
        <v>63</v>
      </c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10055</v>
      </c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0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234</v>
      </c>
      <c r="I44" s="4">
        <v>360.0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235</v>
      </c>
      <c r="I45" s="4">
        <v>440.0</v>
      </c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236</v>
      </c>
      <c r="I61" s="4">
        <v>5545.0</v>
      </c>
      <c r="J61" s="4" t="s">
        <v>185</v>
      </c>
      <c r="K61" s="7" t="s">
        <v>237</v>
      </c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H62" s="4" t="s">
        <v>238</v>
      </c>
      <c r="I62" s="4">
        <v>1400.0</v>
      </c>
      <c r="J62" s="4" t="s">
        <v>63</v>
      </c>
      <c r="K62" s="7" t="s">
        <v>194</v>
      </c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H63" s="4" t="s">
        <v>239</v>
      </c>
      <c r="I63" s="4">
        <v>5400.0</v>
      </c>
      <c r="J63" s="4" t="s">
        <v>185</v>
      </c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H64" s="4" t="s">
        <v>240</v>
      </c>
      <c r="I64" s="4">
        <v>3190.0</v>
      </c>
      <c r="J64" s="4" t="s">
        <v>193</v>
      </c>
      <c r="K64" s="4" t="s">
        <v>194</v>
      </c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H65" s="4" t="s">
        <v>241</v>
      </c>
      <c r="I65" s="4">
        <v>19300.0</v>
      </c>
      <c r="J65" s="4" t="s">
        <v>185</v>
      </c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H66" s="4" t="s">
        <v>242</v>
      </c>
      <c r="I66" s="4">
        <v>5135.0</v>
      </c>
      <c r="J66" s="4" t="s">
        <v>243</v>
      </c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H67" s="4" t="s">
        <v>244</v>
      </c>
      <c r="I67" s="4">
        <v>1450.0</v>
      </c>
      <c r="J67" s="4" t="s">
        <v>78</v>
      </c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H68" s="4" t="s">
        <v>245</v>
      </c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7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/>
      <c r="B2" s="8"/>
      <c r="C2" s="8"/>
      <c r="D2" s="11"/>
      <c r="E2" s="13"/>
      <c r="F2" s="8"/>
      <c r="G2" s="8" t="s">
        <v>34</v>
      </c>
      <c r="H2" s="7" t="s">
        <v>233</v>
      </c>
      <c r="I2" s="9">
        <v>500.0</v>
      </c>
      <c r="J2" s="8"/>
      <c r="K2" s="7" t="s">
        <v>63</v>
      </c>
      <c r="L2" s="8"/>
      <c r="M2" s="8"/>
      <c r="P2" s="8"/>
      <c r="Q2" s="8"/>
      <c r="R2" s="8"/>
    </row>
    <row r="3">
      <c r="A3" s="9"/>
      <c r="B3" s="8"/>
      <c r="C3" s="7"/>
      <c r="D3" s="11"/>
      <c r="E3" s="13"/>
      <c r="F3" s="11"/>
      <c r="G3" s="8"/>
      <c r="H3" s="8"/>
      <c r="I3" s="11"/>
      <c r="J3" s="7"/>
      <c r="K3" s="7"/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7"/>
      <c r="I16" s="7"/>
      <c r="J16" s="8"/>
      <c r="K16" s="7"/>
      <c r="L16" s="8"/>
      <c r="M16" s="8"/>
      <c r="P16" s="8"/>
      <c r="Q16" s="8"/>
      <c r="R16" s="8"/>
    </row>
    <row r="17">
      <c r="A17" s="8"/>
      <c r="B17" s="7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15" t="s">
        <v>3</v>
      </c>
      <c r="C22" s="15" t="s">
        <v>57</v>
      </c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6" t="s">
        <v>34</v>
      </c>
      <c r="C23" s="17">
        <f>SUM(I2)</f>
        <v>500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8" t="s">
        <v>59</v>
      </c>
      <c r="C24" s="17">
        <f>SUM(I13:I25)</f>
        <v>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60</v>
      </c>
      <c r="C25" s="17">
        <f>SUM(I26:I40)</f>
        <v>1400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9" t="s">
        <v>42</v>
      </c>
      <c r="C26" s="17">
        <f>SUM(I41:I57)</f>
        <v>1817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8" t="s">
        <v>61</v>
      </c>
      <c r="C27" s="17"/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9"/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20" t="s">
        <v>64</v>
      </c>
      <c r="C29" s="21">
        <f>SUM(I58:I75)</f>
        <v>0</v>
      </c>
      <c r="D29" s="8"/>
      <c r="E29" s="8"/>
      <c r="F29" s="11"/>
      <c r="G29" s="4" t="s">
        <v>10</v>
      </c>
      <c r="H29" s="4" t="s">
        <v>214</v>
      </c>
      <c r="I29" s="4">
        <v>300.0</v>
      </c>
      <c r="K29" s="4" t="s">
        <v>63</v>
      </c>
      <c r="R29" s="8"/>
    </row>
    <row r="30">
      <c r="A30" s="8"/>
      <c r="B30" s="16" t="s">
        <v>38</v>
      </c>
      <c r="C30" s="17">
        <f>SUM(I76:I90)</f>
        <v>2020</v>
      </c>
      <c r="D30" s="8"/>
      <c r="E30" s="8"/>
      <c r="F30" s="11"/>
      <c r="H30" s="4" t="s">
        <v>246</v>
      </c>
      <c r="I30" s="4">
        <v>380.0</v>
      </c>
      <c r="J30" s="4" t="s">
        <v>117</v>
      </c>
      <c r="R30" s="8"/>
    </row>
    <row r="31">
      <c r="A31" s="8"/>
      <c r="B31" s="19"/>
      <c r="C31" s="17"/>
      <c r="D31" s="8"/>
      <c r="E31" s="8"/>
      <c r="F31" s="11"/>
      <c r="H31" s="4" t="s">
        <v>247</v>
      </c>
      <c r="I31" s="4">
        <v>720.0</v>
      </c>
      <c r="J31" s="4" t="s">
        <v>63</v>
      </c>
      <c r="R31" s="8"/>
    </row>
    <row r="32">
      <c r="A32" s="8"/>
      <c r="B32" s="16"/>
      <c r="C32" s="17"/>
      <c r="D32" s="11"/>
      <c r="E32" s="8"/>
      <c r="F32" s="11"/>
      <c r="R32" s="8"/>
    </row>
    <row r="33">
      <c r="A33" s="8"/>
      <c r="B33" s="22" t="s">
        <v>57</v>
      </c>
      <c r="C33" s="23">
        <f>SUM(C23:C32)</f>
        <v>5737</v>
      </c>
      <c r="D33" s="8"/>
      <c r="E33" s="8"/>
      <c r="F33" s="11"/>
      <c r="K33" s="8"/>
      <c r="L33" s="8"/>
      <c r="M33" s="8"/>
      <c r="P33" s="8"/>
      <c r="Q33" s="8"/>
      <c r="R33" s="8"/>
    </row>
    <row r="34">
      <c r="A34" s="8"/>
      <c r="B34" s="7" t="s">
        <v>70</v>
      </c>
      <c r="C34" s="8">
        <f>SUM(C23:C27)</f>
        <v>3717</v>
      </c>
      <c r="D34" s="8"/>
      <c r="E34" s="8"/>
      <c r="F34" s="11"/>
      <c r="K34" s="8"/>
      <c r="L34" s="8"/>
      <c r="M34" s="8"/>
      <c r="P34" s="8"/>
      <c r="Q34" s="8"/>
      <c r="R34" s="8"/>
    </row>
    <row r="35">
      <c r="A35" s="8"/>
      <c r="B35" s="8"/>
      <c r="C35" s="8"/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14"/>
      <c r="C36" s="5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8"/>
      <c r="C37" s="8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/>
      <c r="C39" s="5"/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248</v>
      </c>
      <c r="I44" s="4">
        <v>1817.0</v>
      </c>
      <c r="J44" s="4" t="s">
        <v>249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8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8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8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8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26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27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11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11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8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8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8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K61" s="11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11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11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K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7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7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H79" s="4" t="s">
        <v>250</v>
      </c>
      <c r="I79" s="4">
        <v>2020.0</v>
      </c>
      <c r="J79" s="4" t="s">
        <v>63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K80" s="8"/>
      <c r="L80" s="8"/>
      <c r="M80" s="8"/>
      <c r="P80" s="8"/>
      <c r="Q80" s="8"/>
      <c r="R80" s="8"/>
    </row>
    <row r="81">
      <c r="A81" s="8"/>
      <c r="B81" s="8"/>
      <c r="C81" s="8"/>
      <c r="D81" s="8"/>
      <c r="E81" s="8"/>
      <c r="K81" s="8"/>
      <c r="L81" s="8"/>
      <c r="M81" s="8"/>
      <c r="P81" s="8"/>
      <c r="Q81" s="8"/>
      <c r="R81" s="8"/>
    </row>
    <row r="82">
      <c r="A82" s="8"/>
      <c r="B82" s="8"/>
      <c r="C82" s="8"/>
      <c r="D82" s="8"/>
      <c r="E82" s="8"/>
      <c r="K82" s="8"/>
      <c r="L82" s="8"/>
      <c r="M82" s="8"/>
      <c r="P82" s="8"/>
      <c r="Q82" s="8"/>
      <c r="R82" s="8"/>
    </row>
    <row r="83">
      <c r="A83" s="8"/>
      <c r="B83" s="8"/>
      <c r="C83" s="8"/>
      <c r="D83" s="8"/>
      <c r="E83" s="8"/>
      <c r="K83" s="7"/>
      <c r="L83" s="8"/>
      <c r="M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P94" s="8"/>
      <c r="Q94" s="8"/>
      <c r="R94" s="8"/>
    </row>
    <row r="95">
      <c r="A95" s="8"/>
      <c r="B95" s="8"/>
      <c r="C95" s="8"/>
      <c r="D95" s="8"/>
      <c r="E95" s="8"/>
      <c r="G95" s="8"/>
      <c r="P95" s="8"/>
      <c r="Q95" s="8"/>
      <c r="R95" s="8"/>
    </row>
    <row r="96">
      <c r="A96" s="8"/>
      <c r="B96" s="8"/>
      <c r="C96" s="8"/>
      <c r="D96" s="8"/>
      <c r="E96" s="8"/>
      <c r="G96" s="8"/>
      <c r="P96" s="8"/>
      <c r="Q96" s="8"/>
      <c r="R96" s="8"/>
    </row>
    <row r="97">
      <c r="A97" s="8"/>
      <c r="B97" s="8"/>
      <c r="C97" s="8"/>
      <c r="D97" s="8"/>
      <c r="E97" s="8"/>
      <c r="G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11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8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8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11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11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11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11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H115" s="8"/>
      <c r="I115" s="8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8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8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8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  <c r="P123" s="8"/>
      <c r="Q123" s="8"/>
    </row>
    <row r="124">
      <c r="G124" s="8"/>
      <c r="H124" s="8"/>
      <c r="I124" s="11"/>
      <c r="J124" s="8"/>
      <c r="P124" s="8"/>
      <c r="Q124" s="8"/>
    </row>
    <row r="125">
      <c r="G125" s="8"/>
      <c r="H125" s="8"/>
      <c r="I125" s="11"/>
      <c r="J125" s="8"/>
      <c r="P125" s="8"/>
      <c r="Q125" s="8"/>
    </row>
    <row r="126">
      <c r="G126" s="8"/>
      <c r="H126" s="8"/>
      <c r="I126" s="11"/>
      <c r="J126" s="8"/>
      <c r="P126" s="8"/>
      <c r="Q126" s="8"/>
    </row>
    <row r="127">
      <c r="G127" s="8"/>
      <c r="H127" s="8"/>
      <c r="I127" s="11"/>
      <c r="J127" s="8"/>
    </row>
    <row r="128">
      <c r="G128" s="8"/>
      <c r="H128" s="8"/>
      <c r="I128" s="11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H133" s="8"/>
      <c r="I133" s="8"/>
      <c r="J133" s="8"/>
    </row>
    <row r="134">
      <c r="G134" s="8"/>
      <c r="H134" s="8"/>
      <c r="I134" s="8"/>
      <c r="J134" s="8"/>
    </row>
    <row r="135">
      <c r="G135" s="8"/>
      <c r="H135" s="8"/>
      <c r="I135" s="8"/>
      <c r="J135" s="8"/>
    </row>
    <row r="136">
      <c r="G136" s="8"/>
      <c r="H136" s="8"/>
      <c r="I136" s="8"/>
      <c r="J136" s="8"/>
    </row>
    <row r="137">
      <c r="G137" s="8"/>
      <c r="I137" s="8"/>
      <c r="J137" s="8"/>
    </row>
    <row r="138">
      <c r="G138" s="8"/>
      <c r="I138" s="8"/>
      <c r="J138" s="8"/>
    </row>
    <row r="139">
      <c r="G139" s="8"/>
      <c r="H139" s="8"/>
      <c r="I139" s="11"/>
      <c r="J139" s="8"/>
    </row>
    <row r="140">
      <c r="G140" s="8"/>
      <c r="H140" s="8"/>
      <c r="I140" s="11"/>
      <c r="J140" s="8"/>
    </row>
    <row r="141">
      <c r="G141" s="8"/>
      <c r="H141" s="8"/>
      <c r="J141" s="8"/>
    </row>
    <row r="142">
      <c r="H142" s="8"/>
      <c r="I142" s="11"/>
      <c r="J142" s="8"/>
    </row>
    <row r="143">
      <c r="G143" s="8"/>
      <c r="I143" s="11"/>
      <c r="J143" s="8"/>
    </row>
    <row r="144">
      <c r="G144" s="8"/>
      <c r="J144" s="8"/>
    </row>
    <row r="145">
      <c r="G145" s="8"/>
      <c r="H145" s="8"/>
      <c r="I145" s="11"/>
      <c r="J145" s="8"/>
    </row>
    <row r="146">
      <c r="G146" s="8"/>
    </row>
    <row r="147">
      <c r="G147" s="8"/>
      <c r="H147" s="8"/>
      <c r="I147" s="11"/>
      <c r="J147" s="8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8:J145 J149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7:J148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 t="s">
        <v>21</v>
      </c>
      <c r="B2" s="8"/>
      <c r="C2" s="7">
        <v>10000.0</v>
      </c>
      <c r="D2" s="11"/>
      <c r="E2" s="13"/>
      <c r="F2" s="8"/>
      <c r="G2" s="8" t="s">
        <v>34</v>
      </c>
      <c r="H2" s="7" t="s">
        <v>251</v>
      </c>
      <c r="I2" s="9">
        <v>1500.0</v>
      </c>
      <c r="J2" s="7" t="s">
        <v>2</v>
      </c>
      <c r="K2" s="7" t="s">
        <v>21</v>
      </c>
      <c r="L2" s="8"/>
      <c r="M2" s="8"/>
      <c r="P2" s="8"/>
      <c r="Q2" s="8"/>
      <c r="R2" s="8"/>
    </row>
    <row r="3">
      <c r="A3" s="9" t="s">
        <v>41</v>
      </c>
      <c r="B3" s="8"/>
      <c r="C3" s="7">
        <v>10000.0</v>
      </c>
      <c r="D3" s="11"/>
      <c r="E3" s="13"/>
      <c r="F3" s="11"/>
      <c r="G3" s="8"/>
      <c r="H3" s="7" t="s">
        <v>252</v>
      </c>
      <c r="I3" s="9">
        <v>1050.0</v>
      </c>
      <c r="J3" s="7"/>
      <c r="K3" s="7" t="s">
        <v>253</v>
      </c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8"/>
      <c r="I16" s="8"/>
      <c r="J16" s="8"/>
      <c r="K16" s="8"/>
      <c r="L16" s="8"/>
      <c r="M16" s="8"/>
      <c r="P16" s="8"/>
      <c r="Q16" s="8"/>
      <c r="R16" s="8"/>
    </row>
    <row r="17">
      <c r="A17" s="8"/>
      <c r="B17" s="8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7" t="s">
        <v>254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5" t="s">
        <v>3</v>
      </c>
      <c r="C23" s="15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16" t="s">
        <v>34</v>
      </c>
      <c r="C24" s="17">
        <f>SUM(I2,I3)</f>
        <v>2550</v>
      </c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18" t="s">
        <v>59</v>
      </c>
      <c r="C25" s="17">
        <f>SUM(I14:I26)</f>
        <v>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8" t="s">
        <v>60</v>
      </c>
      <c r="C26" s="17">
        <f>SUM(I27:I41)</f>
        <v>4106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9" t="s">
        <v>42</v>
      </c>
      <c r="C27" s="17">
        <f>SUM(I42:I58)</f>
        <v>680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8" t="s">
        <v>61</v>
      </c>
      <c r="C28" s="17"/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9"/>
      <c r="C29" s="17"/>
      <c r="D29" s="8"/>
      <c r="E29" s="8"/>
      <c r="F29" s="11"/>
      <c r="G29" s="4" t="s">
        <v>10</v>
      </c>
      <c r="H29" s="4" t="s">
        <v>255</v>
      </c>
      <c r="J29" s="4" t="s">
        <v>78</v>
      </c>
      <c r="K29" s="8"/>
      <c r="L29" s="8"/>
      <c r="M29" s="8"/>
      <c r="P29" s="8"/>
      <c r="Q29" s="8"/>
      <c r="R29" s="8"/>
    </row>
    <row r="30">
      <c r="A30" s="8"/>
      <c r="B30" s="20" t="s">
        <v>64</v>
      </c>
      <c r="C30" s="21">
        <f>SUM(I59:I76)</f>
        <v>400</v>
      </c>
      <c r="D30" s="8"/>
      <c r="E30" s="8"/>
      <c r="F30" s="11"/>
      <c r="H30" s="4" t="s">
        <v>256</v>
      </c>
      <c r="I30" s="4">
        <v>400.0</v>
      </c>
      <c r="J30" s="4" t="s">
        <v>63</v>
      </c>
      <c r="K30" s="8"/>
      <c r="L30" s="8"/>
      <c r="M30" s="8"/>
      <c r="P30" s="8"/>
      <c r="Q30" s="8"/>
      <c r="R30" s="8"/>
    </row>
    <row r="31">
      <c r="A31" s="8"/>
      <c r="B31" s="16" t="s">
        <v>38</v>
      </c>
      <c r="C31" s="17">
        <f>SUM(I77:I91)</f>
        <v>0</v>
      </c>
      <c r="D31" s="8"/>
      <c r="E31" s="8"/>
      <c r="F31" s="11"/>
      <c r="H31" s="4" t="s">
        <v>257</v>
      </c>
      <c r="I31" s="4">
        <v>1000.0</v>
      </c>
      <c r="J31" s="4" t="s">
        <v>63</v>
      </c>
      <c r="K31" s="8"/>
      <c r="L31" s="8"/>
      <c r="M31" s="8"/>
      <c r="P31" s="8"/>
      <c r="Q31" s="8"/>
      <c r="R31" s="8"/>
    </row>
    <row r="32">
      <c r="A32" s="8"/>
      <c r="B32" s="19"/>
      <c r="C32" s="17"/>
      <c r="D32" s="11"/>
      <c r="E32" s="8"/>
      <c r="F32" s="11"/>
      <c r="H32" s="4" t="s">
        <v>258</v>
      </c>
      <c r="I32" s="4">
        <v>130.0</v>
      </c>
      <c r="J32" s="4" t="s">
        <v>63</v>
      </c>
      <c r="K32" s="8"/>
      <c r="L32" s="8"/>
      <c r="M32" s="8"/>
      <c r="P32" s="8"/>
      <c r="Q32" s="8"/>
      <c r="R32" s="8"/>
    </row>
    <row r="33">
      <c r="A33" s="8"/>
      <c r="B33" s="16"/>
      <c r="C33" s="17"/>
      <c r="D33" s="8"/>
      <c r="E33" s="8"/>
      <c r="F33" s="11"/>
      <c r="H33" s="4" t="s">
        <v>259</v>
      </c>
      <c r="I33" s="4">
        <v>531.0</v>
      </c>
      <c r="J33" s="4" t="s">
        <v>260</v>
      </c>
      <c r="K33" s="8"/>
      <c r="L33" s="8"/>
      <c r="M33" s="8"/>
      <c r="P33" s="8"/>
      <c r="Q33" s="8"/>
      <c r="R33" s="8"/>
    </row>
    <row r="34">
      <c r="A34" s="8"/>
      <c r="B34" s="22" t="s">
        <v>57</v>
      </c>
      <c r="C34" s="23">
        <f>SUM(C24:C33)</f>
        <v>7736</v>
      </c>
      <c r="D34" s="8"/>
      <c r="E34" s="8"/>
      <c r="F34" s="11"/>
      <c r="H34" s="4" t="s">
        <v>261</v>
      </c>
      <c r="I34" s="4">
        <v>165.0</v>
      </c>
      <c r="J34" s="4" t="s">
        <v>262</v>
      </c>
      <c r="K34" s="8"/>
      <c r="L34" s="8"/>
      <c r="M34" s="8"/>
      <c r="P34" s="8"/>
      <c r="Q34" s="8"/>
      <c r="R34" s="8"/>
    </row>
    <row r="35">
      <c r="A35" s="8"/>
      <c r="B35" s="7" t="s">
        <v>70</v>
      </c>
      <c r="C35" s="8">
        <f>SUM(C24:C28)</f>
        <v>7336</v>
      </c>
      <c r="D35" s="8"/>
      <c r="E35" s="8"/>
      <c r="F35" s="11"/>
      <c r="H35" s="4" t="s">
        <v>263</v>
      </c>
      <c r="I35" s="4">
        <v>1880.0</v>
      </c>
      <c r="J35" s="4" t="s">
        <v>63</v>
      </c>
      <c r="K35" s="8"/>
      <c r="L35" s="8"/>
      <c r="M35" s="8"/>
      <c r="P35" s="8"/>
      <c r="Q35" s="8"/>
      <c r="R35" s="8"/>
    </row>
    <row r="36">
      <c r="A36" s="8"/>
      <c r="B36" s="8"/>
      <c r="C36" s="8"/>
      <c r="D36" s="8"/>
      <c r="E36" s="8"/>
      <c r="F36" s="11"/>
      <c r="K36" s="8"/>
      <c r="L36" s="8"/>
      <c r="M36" s="8"/>
      <c r="P36" s="8"/>
      <c r="Q36" s="8"/>
      <c r="R36" s="8"/>
    </row>
    <row r="37">
      <c r="A37" s="8"/>
      <c r="B37" s="14"/>
      <c r="C37" s="5"/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/>
      <c r="C39" s="5"/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H44" s="4" t="s">
        <v>264</v>
      </c>
      <c r="I44" s="4">
        <v>200.0</v>
      </c>
      <c r="J44" s="4" t="s">
        <v>262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H45" s="4" t="s">
        <v>265</v>
      </c>
      <c r="I45" s="4">
        <v>480.0</v>
      </c>
      <c r="J45" s="4" t="s">
        <v>220</v>
      </c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H61" s="4" t="s">
        <v>269</v>
      </c>
      <c r="I61" s="4">
        <v>400.0</v>
      </c>
      <c r="J61" s="4" t="s">
        <v>100</v>
      </c>
      <c r="K61" s="8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3" t="s">
        <v>2</v>
      </c>
      <c r="D1" s="3" t="s">
        <v>5</v>
      </c>
      <c r="E1" s="1"/>
      <c r="F1" s="5" t="s">
        <v>1</v>
      </c>
      <c r="G1" s="1" t="s">
        <v>3</v>
      </c>
      <c r="H1" s="1" t="s">
        <v>4</v>
      </c>
      <c r="I1" s="1" t="s">
        <v>11</v>
      </c>
      <c r="J1" s="1" t="s">
        <v>7</v>
      </c>
      <c r="K1" s="7" t="s">
        <v>13</v>
      </c>
      <c r="L1" s="8"/>
      <c r="M1" s="8"/>
      <c r="P1" s="8"/>
      <c r="Q1" s="8"/>
      <c r="R1" s="8"/>
    </row>
    <row r="2">
      <c r="A2" s="9" t="s">
        <v>21</v>
      </c>
      <c r="B2" s="8"/>
      <c r="C2" s="8"/>
      <c r="D2" s="11"/>
      <c r="E2" s="13"/>
      <c r="F2" s="8"/>
      <c r="G2" s="8" t="s">
        <v>34</v>
      </c>
      <c r="H2" s="7" t="s">
        <v>266</v>
      </c>
      <c r="I2" s="9">
        <v>405.0</v>
      </c>
      <c r="J2" s="7" t="s">
        <v>267</v>
      </c>
      <c r="K2" s="7" t="s">
        <v>21</v>
      </c>
      <c r="L2" s="8"/>
      <c r="M2" s="8"/>
      <c r="P2" s="8"/>
      <c r="Q2" s="8"/>
      <c r="R2" s="8"/>
    </row>
    <row r="3">
      <c r="A3" s="9" t="s">
        <v>41</v>
      </c>
      <c r="B3" s="8"/>
      <c r="C3" s="8"/>
      <c r="D3" s="11"/>
      <c r="E3" s="13"/>
      <c r="F3" s="11"/>
      <c r="G3" s="8"/>
      <c r="H3" s="7" t="s">
        <v>268</v>
      </c>
      <c r="I3" s="9">
        <v>290.0</v>
      </c>
      <c r="J3" s="7" t="s">
        <v>267</v>
      </c>
      <c r="K3" s="7" t="s">
        <v>21</v>
      </c>
      <c r="L3" s="8"/>
      <c r="M3" s="8"/>
      <c r="P3" s="8"/>
      <c r="Q3" s="8"/>
      <c r="R3" s="8"/>
    </row>
    <row r="4">
      <c r="A4" s="11"/>
      <c r="B4" s="8"/>
      <c r="C4" s="8"/>
      <c r="D4" s="11"/>
      <c r="E4" s="13"/>
      <c r="F4" s="11"/>
      <c r="G4" s="8"/>
      <c r="H4" s="8"/>
      <c r="I4" s="11"/>
      <c r="J4" s="7"/>
      <c r="K4" s="8"/>
      <c r="L4" s="8"/>
      <c r="M4" s="8"/>
      <c r="P4" s="8"/>
      <c r="Q4" s="8"/>
      <c r="R4" s="8"/>
    </row>
    <row r="5">
      <c r="A5" s="8"/>
      <c r="B5" s="8"/>
      <c r="C5" s="8"/>
      <c r="D5" s="8"/>
      <c r="E5" s="13"/>
      <c r="F5" s="11"/>
      <c r="G5" s="8"/>
      <c r="H5" s="8"/>
      <c r="I5" s="11"/>
      <c r="J5" s="7"/>
      <c r="K5" s="8"/>
      <c r="L5" s="8"/>
      <c r="M5" s="8"/>
      <c r="P5" s="8"/>
      <c r="Q5" s="8"/>
      <c r="R5" s="8"/>
    </row>
    <row r="6">
      <c r="A6" s="11"/>
      <c r="B6" s="8"/>
      <c r="C6" s="8"/>
      <c r="D6" s="11"/>
      <c r="E6" s="8"/>
      <c r="F6" s="11"/>
      <c r="G6" s="8"/>
      <c r="H6" s="8"/>
      <c r="I6" s="11"/>
      <c r="J6" s="8"/>
      <c r="K6" s="8"/>
      <c r="L6" s="8"/>
      <c r="M6" s="8"/>
      <c r="P6" s="8"/>
      <c r="Q6" s="8"/>
      <c r="R6" s="8"/>
    </row>
    <row r="7">
      <c r="A7" s="11"/>
      <c r="B7" s="8"/>
      <c r="C7" s="8"/>
      <c r="D7" s="8"/>
      <c r="E7" s="8"/>
      <c r="F7" s="11"/>
      <c r="G7" s="8"/>
      <c r="H7" s="8"/>
      <c r="J7" s="8"/>
      <c r="K7" s="8"/>
      <c r="L7" s="8"/>
      <c r="M7" s="8"/>
      <c r="P7" s="8"/>
      <c r="Q7" s="8"/>
      <c r="R7" s="8"/>
    </row>
    <row r="8">
      <c r="A8" s="8"/>
      <c r="B8" s="8"/>
      <c r="C8" s="8"/>
      <c r="D8" s="8"/>
      <c r="E8" s="8"/>
      <c r="F8" s="11"/>
      <c r="G8" s="8"/>
      <c r="H8" s="8"/>
      <c r="I8" s="11"/>
      <c r="J8" s="8"/>
      <c r="K8" s="8"/>
      <c r="L8" s="8"/>
      <c r="M8" s="8"/>
      <c r="P8" s="8"/>
      <c r="Q8" s="8"/>
      <c r="R8" s="8"/>
    </row>
    <row r="9">
      <c r="B9" s="8"/>
      <c r="C9" s="8"/>
      <c r="D9" s="11"/>
      <c r="E9" s="8"/>
      <c r="F9" s="11"/>
      <c r="G9" s="8"/>
      <c r="I9" s="11"/>
      <c r="J9" s="8"/>
      <c r="K9" s="8"/>
      <c r="L9" s="8"/>
      <c r="M9" s="8"/>
      <c r="P9" s="8"/>
      <c r="Q9" s="8"/>
      <c r="R9" s="8"/>
    </row>
    <row r="10">
      <c r="A10" s="11"/>
      <c r="B10" s="8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11"/>
      <c r="J12" s="8"/>
      <c r="K12" s="8"/>
      <c r="L12" s="8"/>
      <c r="M12" s="8"/>
      <c r="P12" s="8"/>
      <c r="Q12" s="8"/>
      <c r="R12" s="8"/>
    </row>
    <row r="13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P13" s="8"/>
      <c r="Q13" s="8"/>
      <c r="R13" s="8"/>
    </row>
    <row r="14">
      <c r="A14" s="8"/>
      <c r="B14" s="8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</row>
    <row r="15">
      <c r="A15" s="8"/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</row>
    <row r="16">
      <c r="E16" s="8"/>
      <c r="F16" s="8"/>
      <c r="G16" s="7" t="s">
        <v>39</v>
      </c>
      <c r="H16" s="8"/>
      <c r="I16" s="8"/>
      <c r="J16" s="8"/>
      <c r="K16" s="8"/>
      <c r="L16" s="8"/>
      <c r="M16" s="8"/>
      <c r="P16" s="8"/>
      <c r="Q16" s="8"/>
      <c r="R16" s="8"/>
    </row>
    <row r="17">
      <c r="A17" s="8"/>
      <c r="B17" s="8"/>
      <c r="C17" s="14"/>
      <c r="D17" s="5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</row>
    <row r="21">
      <c r="A21" s="8"/>
      <c r="B21" s="8"/>
      <c r="C21" s="8"/>
      <c r="D21" s="8"/>
      <c r="E21" s="8"/>
      <c r="F21" s="8"/>
      <c r="K21" s="8"/>
      <c r="L21" s="8"/>
      <c r="M21" s="8"/>
      <c r="P21" s="8"/>
      <c r="Q21" s="8"/>
      <c r="R21" s="8"/>
    </row>
    <row r="22">
      <c r="A22" s="8"/>
      <c r="B22" s="8"/>
      <c r="C22" s="8"/>
      <c r="D22" s="8"/>
      <c r="E22" s="8"/>
      <c r="F22" s="8"/>
      <c r="K22" s="8"/>
      <c r="L22" s="8"/>
      <c r="M22" s="8"/>
      <c r="P22" s="8"/>
      <c r="Q22" s="8"/>
      <c r="R22" s="8"/>
    </row>
    <row r="23">
      <c r="A23" s="8"/>
      <c r="B23" s="1" t="s">
        <v>3</v>
      </c>
      <c r="C23" s="1" t="s">
        <v>57</v>
      </c>
      <c r="D23" s="5"/>
      <c r="E23" s="8"/>
      <c r="F23" s="8"/>
      <c r="K23" s="8"/>
      <c r="L23" s="8"/>
      <c r="M23" s="8"/>
      <c r="P23" s="8"/>
      <c r="Q23" s="8"/>
      <c r="R23" s="8"/>
    </row>
    <row r="24">
      <c r="A24" s="8"/>
      <c r="B24" s="8"/>
      <c r="C24" s="11"/>
      <c r="D24" s="8"/>
      <c r="E24" s="8"/>
      <c r="F24" s="8"/>
      <c r="K24" s="8"/>
      <c r="L24" s="8"/>
      <c r="M24" s="8"/>
      <c r="P24" s="8"/>
      <c r="Q24" s="8"/>
      <c r="R24" s="8"/>
    </row>
    <row r="25">
      <c r="A25" s="8"/>
      <c r="B25" s="20" t="s">
        <v>64</v>
      </c>
      <c r="C25" s="21">
        <f>SUM(I194:I209)</f>
        <v>0</v>
      </c>
      <c r="D25" s="8"/>
      <c r="E25" s="8"/>
      <c r="F25" s="8"/>
      <c r="K25" s="8"/>
      <c r="L25" s="8"/>
      <c r="M25" s="8"/>
      <c r="P25" s="8"/>
      <c r="Q25" s="8"/>
      <c r="R25" s="8"/>
    </row>
    <row r="26">
      <c r="A26" s="8"/>
      <c r="B26" s="16" t="s">
        <v>34</v>
      </c>
      <c r="C26" s="17">
        <f>SUM(I2:I112)</f>
        <v>1795</v>
      </c>
      <c r="D26" s="11"/>
      <c r="E26" s="8"/>
      <c r="F26" s="11"/>
      <c r="K26" s="8"/>
      <c r="L26" s="8"/>
      <c r="M26" s="8"/>
      <c r="P26" s="8"/>
      <c r="Q26" s="8"/>
      <c r="R26" s="8"/>
    </row>
    <row r="27">
      <c r="A27" s="8"/>
      <c r="B27" s="16" t="s">
        <v>270</v>
      </c>
      <c r="C27" s="17">
        <f>SUM(I143:I153)</f>
        <v>0</v>
      </c>
      <c r="D27" s="11"/>
      <c r="E27" s="8"/>
      <c r="F27" s="11"/>
      <c r="K27" s="8"/>
      <c r="L27" s="8"/>
      <c r="M27" s="8"/>
      <c r="P27" s="8"/>
      <c r="Q27" s="8"/>
      <c r="R27" s="8"/>
    </row>
    <row r="28">
      <c r="A28" s="8"/>
      <c r="B28" s="16" t="s">
        <v>47</v>
      </c>
      <c r="C28" s="17">
        <f>SUM(I155:I176)</f>
        <v>0</v>
      </c>
      <c r="D28" s="11"/>
      <c r="E28" s="8"/>
      <c r="F28" s="11"/>
      <c r="K28" s="8"/>
      <c r="L28" s="8"/>
      <c r="M28" s="8"/>
      <c r="P28" s="8"/>
      <c r="Q28" s="8"/>
      <c r="R28" s="8"/>
    </row>
    <row r="29">
      <c r="A29" s="8"/>
      <c r="B29" s="16" t="s">
        <v>38</v>
      </c>
      <c r="C29" s="17">
        <f>SUM(I187:I193)</f>
        <v>0</v>
      </c>
      <c r="D29" s="8"/>
      <c r="E29" s="8"/>
      <c r="F29" s="11"/>
      <c r="G29" s="4" t="s">
        <v>10</v>
      </c>
      <c r="H29" s="4" t="s">
        <v>271</v>
      </c>
      <c r="I29" s="4">
        <v>1100.0</v>
      </c>
      <c r="J29" s="4" t="s">
        <v>272</v>
      </c>
      <c r="K29" s="7" t="s">
        <v>21</v>
      </c>
      <c r="L29" s="8"/>
      <c r="M29" s="8"/>
      <c r="P29" s="8"/>
      <c r="Q29" s="8"/>
      <c r="R29" s="8"/>
    </row>
    <row r="30">
      <c r="A30" s="8"/>
      <c r="B30" s="16" t="s">
        <v>273</v>
      </c>
      <c r="C30" s="17">
        <f>SUM(I118:I124)</f>
        <v>0</v>
      </c>
      <c r="D30" s="8"/>
      <c r="E30" s="8"/>
      <c r="F30" s="11"/>
      <c r="K30" s="8"/>
      <c r="L30" s="8"/>
      <c r="M30" s="8"/>
      <c r="P30" s="8"/>
      <c r="Q30" s="8"/>
      <c r="R30" s="8"/>
    </row>
    <row r="31">
      <c r="A31" s="8"/>
      <c r="B31" s="19" t="s">
        <v>274</v>
      </c>
      <c r="C31" s="17">
        <f>SUM(I210)</f>
        <v>0</v>
      </c>
      <c r="D31" s="8"/>
      <c r="E31" s="8"/>
      <c r="F31" s="11"/>
      <c r="K31" s="8"/>
      <c r="L31" s="8"/>
      <c r="M31" s="8"/>
      <c r="P31" s="8"/>
      <c r="Q31" s="8"/>
      <c r="R31" s="8"/>
    </row>
    <row r="32">
      <c r="A32" s="8"/>
      <c r="B32" s="19" t="s">
        <v>42</v>
      </c>
      <c r="C32" s="17">
        <f>SUM(I125:I141)</f>
        <v>0</v>
      </c>
      <c r="D32" s="11"/>
      <c r="E32" s="8"/>
      <c r="F32" s="11"/>
      <c r="K32" s="8"/>
      <c r="L32" s="8"/>
      <c r="M32" s="8"/>
      <c r="P32" s="8"/>
      <c r="Q32" s="8"/>
      <c r="R32" s="8"/>
    </row>
    <row r="33">
      <c r="A33" s="8"/>
      <c r="B33" s="19" t="s">
        <v>50</v>
      </c>
      <c r="C33" s="17">
        <f>SUM(I211:I215)</f>
        <v>0</v>
      </c>
      <c r="D33" s="8"/>
      <c r="E33" s="8"/>
      <c r="F33" s="11"/>
      <c r="K33" s="8"/>
      <c r="L33" s="8"/>
      <c r="M33" s="8"/>
      <c r="P33" s="8"/>
      <c r="Q33" s="8"/>
      <c r="R33" s="8"/>
    </row>
    <row r="34">
      <c r="A34" s="8"/>
      <c r="B34" s="19" t="s">
        <v>14</v>
      </c>
      <c r="C34" s="17">
        <f>SUM(I219:I221)</f>
        <v>0</v>
      </c>
      <c r="D34" s="8"/>
      <c r="E34" s="8"/>
      <c r="F34" s="11"/>
      <c r="K34" s="8"/>
      <c r="L34" s="8"/>
      <c r="M34" s="8"/>
      <c r="P34" s="8"/>
      <c r="Q34" s="8"/>
      <c r="R34" s="8"/>
    </row>
    <row r="35">
      <c r="A35" s="8"/>
      <c r="B35" s="16" t="s">
        <v>27</v>
      </c>
      <c r="C35" s="17"/>
      <c r="D35" s="8"/>
      <c r="E35" s="8"/>
      <c r="F35" s="11"/>
      <c r="K35" s="8"/>
      <c r="L35" s="8"/>
      <c r="M35" s="8"/>
      <c r="P35" s="8"/>
      <c r="Q35" s="8"/>
      <c r="R35" s="8"/>
    </row>
    <row r="36">
      <c r="A36" s="8"/>
      <c r="B36" s="22" t="s">
        <v>57</v>
      </c>
      <c r="C36" s="23">
        <f>SUM(C25:C35)</f>
        <v>1795</v>
      </c>
      <c r="D36" s="7" t="s">
        <v>275</v>
      </c>
      <c r="E36" s="8"/>
      <c r="F36" s="11"/>
      <c r="K36" s="8"/>
      <c r="L36" s="8"/>
      <c r="M36" s="8"/>
      <c r="P36" s="8"/>
      <c r="Q36" s="8"/>
      <c r="R36" s="8"/>
    </row>
    <row r="37">
      <c r="A37" s="8"/>
      <c r="B37" s="8" t="s">
        <v>276</v>
      </c>
      <c r="C37" s="8">
        <f>SUM(C25:C34)</f>
        <v>1795</v>
      </c>
      <c r="D37" s="8"/>
      <c r="E37" s="8"/>
      <c r="F37" s="8"/>
      <c r="K37" s="8"/>
      <c r="L37" s="8"/>
      <c r="M37" s="8"/>
      <c r="P37" s="8"/>
      <c r="Q37" s="8"/>
      <c r="R37" s="8"/>
    </row>
    <row r="38">
      <c r="A38" s="8"/>
      <c r="B38" s="8"/>
      <c r="C38" s="8"/>
      <c r="D38" s="8"/>
      <c r="E38" s="8"/>
      <c r="F38" s="8"/>
      <c r="K38" s="8"/>
      <c r="L38" s="8"/>
      <c r="M38" s="8"/>
      <c r="P38" s="8"/>
      <c r="Q38" s="8"/>
      <c r="R38" s="8"/>
    </row>
    <row r="39">
      <c r="A39" s="8"/>
      <c r="B39" s="14" t="s">
        <v>145</v>
      </c>
      <c r="C39" s="5">
        <f>SUM(D17-C36)</f>
        <v>-1795</v>
      </c>
      <c r="D39" s="8"/>
      <c r="E39" s="8"/>
      <c r="F39" s="8"/>
      <c r="K39" s="8"/>
      <c r="L39" s="8"/>
      <c r="M39" s="8"/>
      <c r="P39" s="8"/>
      <c r="Q39" s="8"/>
      <c r="R39" s="8"/>
    </row>
    <row r="40">
      <c r="A40" s="8"/>
      <c r="B40" s="8"/>
      <c r="C40" s="8"/>
      <c r="D40" s="8"/>
      <c r="E40" s="8"/>
      <c r="F40" s="8"/>
      <c r="K40" s="8"/>
      <c r="L40" s="8"/>
      <c r="M40" s="8"/>
      <c r="P40" s="8"/>
      <c r="Q40" s="8"/>
      <c r="R40" s="8"/>
    </row>
    <row r="41">
      <c r="A41" s="8"/>
      <c r="B41" s="8"/>
      <c r="C41" s="8"/>
      <c r="D41" s="8"/>
      <c r="E41" s="8"/>
      <c r="F41" s="8"/>
      <c r="K41" s="8"/>
      <c r="L41" s="8"/>
      <c r="M41" s="8"/>
      <c r="P41" s="8"/>
      <c r="Q41" s="8"/>
      <c r="R41" s="8"/>
    </row>
    <row r="42">
      <c r="A42" s="8"/>
      <c r="B42" s="8"/>
      <c r="C42" s="8"/>
      <c r="D42" s="8"/>
      <c r="E42" s="8"/>
      <c r="F42" s="11"/>
      <c r="K42" s="8"/>
      <c r="L42" s="8"/>
      <c r="M42" s="8"/>
      <c r="P42" s="8"/>
      <c r="Q42" s="8"/>
      <c r="R42" s="8"/>
    </row>
    <row r="43">
      <c r="A43" s="8"/>
      <c r="B43" s="24" t="s">
        <v>74</v>
      </c>
      <c r="C43" s="8"/>
      <c r="D43" s="8"/>
      <c r="E43" s="8"/>
      <c r="F43" s="11"/>
      <c r="K43" s="8"/>
      <c r="L43" s="8"/>
      <c r="M43" s="8"/>
      <c r="P43" s="8"/>
      <c r="Q43" s="8"/>
      <c r="R43" s="8"/>
    </row>
    <row r="44">
      <c r="A44" s="8"/>
      <c r="B44" s="8"/>
      <c r="C44" s="8"/>
      <c r="D44" s="8"/>
      <c r="E44" s="8"/>
      <c r="F44" s="8"/>
      <c r="G44" s="4" t="s">
        <v>42</v>
      </c>
      <c r="K44" s="8"/>
      <c r="L44" s="8"/>
      <c r="M44" s="8"/>
      <c r="P44" s="8"/>
      <c r="Q44" s="8"/>
      <c r="R44" s="8"/>
    </row>
    <row r="45">
      <c r="A45" s="8"/>
      <c r="B45" s="8"/>
      <c r="C45" s="8"/>
      <c r="D45" s="8"/>
      <c r="E45" s="8"/>
      <c r="F45" s="11"/>
      <c r="K45" s="8"/>
      <c r="L45" s="8"/>
      <c r="M45" s="8"/>
      <c r="P45" s="8"/>
      <c r="Q45" s="8"/>
      <c r="R45" s="8"/>
    </row>
    <row r="46">
      <c r="A46" s="8"/>
      <c r="B46" s="8"/>
      <c r="C46" s="8"/>
      <c r="D46" s="8"/>
      <c r="E46" s="8"/>
      <c r="F46" s="11"/>
      <c r="K46" s="8"/>
      <c r="L46" s="8"/>
      <c r="M46" s="8"/>
      <c r="P46" s="8"/>
      <c r="Q46" s="8"/>
      <c r="R46" s="8"/>
    </row>
    <row r="47">
      <c r="A47" s="8"/>
      <c r="B47" s="8"/>
      <c r="C47" s="8"/>
      <c r="D47" s="8"/>
      <c r="E47" s="8"/>
      <c r="K47" s="26"/>
      <c r="L47" s="8"/>
      <c r="M47" s="8"/>
      <c r="P47" s="8"/>
      <c r="Q47" s="8"/>
      <c r="R47" s="8"/>
    </row>
    <row r="48">
      <c r="A48" s="8"/>
      <c r="B48" s="8"/>
      <c r="C48" s="8"/>
      <c r="D48" s="8"/>
      <c r="E48" s="8"/>
      <c r="K48" s="27"/>
      <c r="L48" s="8"/>
      <c r="M48" s="8"/>
      <c r="P48" s="8"/>
      <c r="Q48" s="8"/>
      <c r="R48" s="8"/>
    </row>
    <row r="49">
      <c r="A49" s="8"/>
      <c r="B49" s="8"/>
      <c r="C49" s="8"/>
      <c r="D49" s="8"/>
      <c r="E49" s="8"/>
      <c r="K49" s="11"/>
      <c r="L49" s="8"/>
      <c r="M49" s="8"/>
      <c r="P49" s="8"/>
      <c r="Q49" s="8"/>
      <c r="R49" s="8"/>
    </row>
    <row r="50">
      <c r="A50" s="8"/>
      <c r="B50" s="8"/>
      <c r="C50" s="8"/>
      <c r="D50" s="8"/>
      <c r="E50" s="8"/>
      <c r="K50" s="11"/>
      <c r="L50" s="8"/>
      <c r="M50" s="8"/>
      <c r="P50" s="8"/>
      <c r="Q50" s="8"/>
      <c r="R50" s="8"/>
    </row>
    <row r="51">
      <c r="A51" s="8"/>
      <c r="B51" s="8"/>
      <c r="C51" s="8"/>
      <c r="D51" s="8"/>
      <c r="E51" s="8"/>
      <c r="K51" s="8"/>
      <c r="L51" s="8"/>
      <c r="M51" s="8"/>
      <c r="P51" s="8"/>
      <c r="Q51" s="8"/>
      <c r="R51" s="8"/>
    </row>
    <row r="52">
      <c r="A52" s="8"/>
      <c r="B52" s="8"/>
      <c r="C52" s="8"/>
      <c r="D52" s="8"/>
      <c r="E52" s="8"/>
      <c r="K52" s="8"/>
      <c r="L52" s="8"/>
      <c r="M52" s="8"/>
      <c r="P52" s="8"/>
      <c r="Q52" s="8"/>
      <c r="R52" s="8"/>
    </row>
    <row r="53">
      <c r="A53" s="8"/>
      <c r="B53" s="8"/>
      <c r="C53" s="8"/>
      <c r="D53" s="8"/>
      <c r="E53" s="8"/>
      <c r="K53" s="8"/>
      <c r="L53" s="8"/>
      <c r="M53" s="8"/>
      <c r="P53" s="8"/>
      <c r="Q53" s="8"/>
      <c r="R53" s="8"/>
    </row>
    <row r="54">
      <c r="A54" s="8"/>
      <c r="B54" s="8"/>
      <c r="C54" s="8"/>
      <c r="D54" s="8"/>
      <c r="E54" s="8"/>
      <c r="K54" s="8"/>
      <c r="L54" s="8"/>
      <c r="M54" s="8"/>
      <c r="P54" s="8"/>
      <c r="Q54" s="8"/>
      <c r="R54" s="8"/>
    </row>
    <row r="55">
      <c r="A55" s="8"/>
      <c r="B55" s="8"/>
      <c r="C55" s="8"/>
      <c r="D55" s="8"/>
      <c r="E55" s="8"/>
      <c r="K55" s="8"/>
      <c r="L55" s="8"/>
      <c r="M55" s="8"/>
      <c r="P55" s="8"/>
      <c r="Q55" s="8"/>
      <c r="R55" s="8"/>
    </row>
    <row r="56">
      <c r="A56" s="8"/>
      <c r="B56" s="8"/>
      <c r="C56" s="8"/>
      <c r="D56" s="8"/>
      <c r="E56" s="8"/>
      <c r="K56" s="8"/>
      <c r="L56" s="8"/>
      <c r="M56" s="8"/>
      <c r="P56" s="8"/>
      <c r="Q56" s="8"/>
      <c r="R56" s="8"/>
    </row>
    <row r="57">
      <c r="A57" s="8"/>
      <c r="B57" s="8"/>
      <c r="C57" s="8"/>
      <c r="D57" s="8"/>
      <c r="E57" s="8"/>
      <c r="K57" s="11"/>
      <c r="L57" s="8"/>
      <c r="M57" s="8"/>
      <c r="P57" s="8"/>
      <c r="Q57" s="8"/>
      <c r="R57" s="8"/>
    </row>
    <row r="58">
      <c r="A58" s="8"/>
      <c r="B58" s="8"/>
      <c r="C58" s="8"/>
      <c r="D58" s="8"/>
      <c r="E58" s="8"/>
      <c r="K58" s="11"/>
      <c r="L58" s="8"/>
      <c r="M58" s="8"/>
      <c r="P58" s="8"/>
      <c r="Q58" s="8"/>
      <c r="R58" s="8"/>
    </row>
    <row r="59">
      <c r="A59" s="8"/>
      <c r="B59" s="8"/>
      <c r="C59" s="8"/>
      <c r="D59" s="8"/>
      <c r="E59" s="8"/>
      <c r="K59" s="11"/>
      <c r="L59" s="8"/>
      <c r="M59" s="8"/>
      <c r="P59" s="8"/>
      <c r="Q59" s="8"/>
      <c r="R59" s="8"/>
    </row>
    <row r="60">
      <c r="A60" s="8"/>
      <c r="B60" s="8"/>
      <c r="C60" s="8"/>
      <c r="D60" s="8"/>
      <c r="E60" s="8"/>
      <c r="K60" s="8"/>
      <c r="L60" s="8"/>
      <c r="M60" s="8"/>
      <c r="P60" s="8"/>
      <c r="Q60" s="8"/>
      <c r="R60" s="8"/>
    </row>
    <row r="61">
      <c r="A61" s="8"/>
      <c r="B61" s="8"/>
      <c r="C61" s="8"/>
      <c r="D61" s="8"/>
      <c r="E61" s="8"/>
      <c r="G61" s="4" t="s">
        <v>87</v>
      </c>
      <c r="K61" s="8"/>
      <c r="L61" s="8"/>
      <c r="M61" s="8"/>
      <c r="P61" s="8"/>
      <c r="Q61" s="8"/>
      <c r="R61" s="8"/>
    </row>
    <row r="62">
      <c r="A62" s="8"/>
      <c r="B62" s="8"/>
      <c r="C62" s="8"/>
      <c r="D62" s="8"/>
      <c r="E62" s="8"/>
      <c r="K62" s="8"/>
      <c r="L62" s="8"/>
      <c r="M62" s="8"/>
      <c r="P62" s="8"/>
      <c r="Q62" s="8"/>
      <c r="R62" s="8"/>
    </row>
    <row r="63">
      <c r="A63" s="8"/>
      <c r="B63" s="8"/>
      <c r="C63" s="8"/>
      <c r="D63" s="8"/>
      <c r="E63" s="8"/>
      <c r="K63" s="8"/>
      <c r="L63" s="8"/>
      <c r="M63" s="8"/>
      <c r="P63" s="8"/>
      <c r="Q63" s="8"/>
      <c r="R63" s="8"/>
    </row>
    <row r="64">
      <c r="A64" s="8"/>
      <c r="B64" s="8"/>
      <c r="C64" s="8"/>
      <c r="D64" s="8"/>
      <c r="E64" s="8"/>
      <c r="L64" s="8"/>
      <c r="M64" s="8"/>
      <c r="P64" s="8"/>
      <c r="Q64" s="8"/>
      <c r="R64" s="8"/>
    </row>
    <row r="65">
      <c r="A65" s="8"/>
      <c r="B65" s="8"/>
      <c r="C65" s="8"/>
      <c r="D65" s="8"/>
      <c r="E65" s="8"/>
      <c r="K65" s="8"/>
      <c r="L65" s="8"/>
      <c r="M65" s="8"/>
      <c r="P65" s="8"/>
      <c r="Q65" s="8"/>
      <c r="R65" s="8"/>
    </row>
    <row r="66">
      <c r="A66" s="8"/>
      <c r="B66" s="8"/>
      <c r="C66" s="8"/>
      <c r="D66" s="8"/>
      <c r="E66" s="8"/>
      <c r="K66" s="8"/>
      <c r="L66" s="8"/>
      <c r="M66" s="8"/>
      <c r="P66" s="8"/>
      <c r="Q66" s="8"/>
      <c r="R66" s="8"/>
    </row>
    <row r="67">
      <c r="A67" s="8"/>
      <c r="B67" s="8"/>
      <c r="C67" s="8"/>
      <c r="D67" s="8"/>
      <c r="E67" s="8"/>
      <c r="K67" s="8"/>
      <c r="L67" s="8"/>
      <c r="M67" s="8"/>
      <c r="P67" s="8"/>
      <c r="Q67" s="8"/>
      <c r="R67" s="8"/>
    </row>
    <row r="68">
      <c r="A68" s="8"/>
      <c r="B68" s="8"/>
      <c r="C68" s="8"/>
      <c r="D68" s="8"/>
      <c r="E68" s="8"/>
      <c r="K68" s="8"/>
      <c r="L68" s="8"/>
      <c r="M68" s="8"/>
      <c r="P68" s="8"/>
      <c r="Q68" s="8"/>
      <c r="R68" s="8"/>
    </row>
    <row r="69">
      <c r="A69" s="8"/>
      <c r="B69" s="8"/>
      <c r="C69" s="8"/>
      <c r="D69" s="8"/>
      <c r="E69" s="8"/>
      <c r="K69" s="8"/>
      <c r="L69" s="8"/>
      <c r="M69" s="8"/>
      <c r="P69" s="8"/>
      <c r="Q69" s="8"/>
      <c r="R69" s="8"/>
    </row>
    <row r="70">
      <c r="A70" s="8"/>
      <c r="B70" s="8"/>
      <c r="C70" s="8"/>
      <c r="D70" s="8"/>
      <c r="E70" s="8"/>
      <c r="K70" s="8"/>
      <c r="L70" s="8"/>
      <c r="M70" s="8"/>
      <c r="P70" s="8"/>
      <c r="Q70" s="8"/>
      <c r="R70" s="8"/>
    </row>
    <row r="71">
      <c r="A71" s="8"/>
      <c r="B71" s="8"/>
      <c r="C71" s="8"/>
      <c r="D71" s="8"/>
      <c r="E71" s="8"/>
      <c r="K71" s="8"/>
      <c r="L71" s="8"/>
      <c r="M71" s="8"/>
      <c r="P71" s="8"/>
      <c r="Q71" s="8"/>
      <c r="R71" s="8"/>
    </row>
    <row r="72">
      <c r="A72" s="8"/>
      <c r="B72" s="8"/>
      <c r="C72" s="8"/>
      <c r="D72" s="8"/>
      <c r="E72" s="8"/>
      <c r="K72" s="8"/>
      <c r="L72" s="8"/>
      <c r="M72" s="8"/>
      <c r="P72" s="8"/>
      <c r="Q72" s="8"/>
      <c r="R72" s="8"/>
    </row>
    <row r="73">
      <c r="A73" s="8"/>
      <c r="B73" s="8"/>
      <c r="C73" s="8"/>
      <c r="D73" s="8"/>
      <c r="E73" s="8"/>
      <c r="K73" s="8"/>
      <c r="L73" s="8"/>
      <c r="M73" s="8"/>
      <c r="P73" s="8"/>
      <c r="Q73" s="8"/>
      <c r="R73" s="8"/>
    </row>
    <row r="74">
      <c r="A74" s="8"/>
      <c r="B74" s="8"/>
      <c r="C74" s="8"/>
      <c r="D74" s="8"/>
      <c r="E74" s="8"/>
      <c r="K74" s="8"/>
      <c r="L74" s="8"/>
      <c r="M74" s="8"/>
      <c r="P74" s="8"/>
      <c r="Q74" s="8"/>
      <c r="R74" s="8"/>
    </row>
    <row r="75">
      <c r="A75" s="8"/>
      <c r="B75" s="8"/>
      <c r="C75" s="8"/>
      <c r="D75" s="8"/>
      <c r="E75" s="8"/>
      <c r="K75" s="8"/>
      <c r="L75" s="8"/>
      <c r="M75" s="8"/>
      <c r="P75" s="8"/>
      <c r="Q75" s="8"/>
      <c r="R75" s="8"/>
    </row>
    <row r="76">
      <c r="A76" s="8"/>
      <c r="B76" s="8"/>
      <c r="C76" s="8"/>
      <c r="D76" s="8"/>
      <c r="E76" s="8"/>
      <c r="K76" s="8"/>
      <c r="L76" s="8"/>
      <c r="M76" s="8"/>
      <c r="P76" s="8"/>
      <c r="Q76" s="8"/>
      <c r="R76" s="8"/>
    </row>
    <row r="77">
      <c r="A77" s="8"/>
      <c r="B77" s="8"/>
      <c r="C77" s="8"/>
      <c r="D77" s="8"/>
      <c r="E77" s="8"/>
      <c r="K77" s="8"/>
      <c r="L77" s="8"/>
      <c r="M77" s="8"/>
      <c r="P77" s="8"/>
      <c r="Q77" s="8"/>
      <c r="R77" s="8"/>
    </row>
    <row r="78">
      <c r="A78" s="8"/>
      <c r="B78" s="8"/>
      <c r="C78" s="8"/>
      <c r="D78" s="8"/>
      <c r="E78" s="8"/>
      <c r="K78" s="8"/>
      <c r="L78" s="8"/>
      <c r="M78" s="8"/>
      <c r="P78" s="8"/>
      <c r="Q78" s="8"/>
      <c r="R78" s="8"/>
    </row>
    <row r="79">
      <c r="A79" s="8"/>
      <c r="B79" s="8"/>
      <c r="C79" s="8"/>
      <c r="D79" s="8"/>
      <c r="E79" s="8"/>
      <c r="G79" s="4" t="s">
        <v>101</v>
      </c>
      <c r="K79" s="8"/>
      <c r="L79" s="8"/>
      <c r="M79" s="8"/>
      <c r="P79" s="8"/>
      <c r="Q79" s="8"/>
      <c r="R79" s="8"/>
    </row>
    <row r="80">
      <c r="A80" s="8"/>
      <c r="B80" s="8"/>
      <c r="C80" s="8"/>
      <c r="D80" s="8"/>
      <c r="E80" s="8"/>
      <c r="P80" s="8"/>
      <c r="Q80" s="8"/>
      <c r="R80" s="8"/>
    </row>
    <row r="81">
      <c r="A81" s="8"/>
      <c r="B81" s="8"/>
      <c r="C81" s="8"/>
      <c r="D81" s="8"/>
      <c r="E81" s="8"/>
      <c r="P81" s="8"/>
      <c r="Q81" s="8"/>
      <c r="R81" s="8"/>
    </row>
    <row r="82">
      <c r="A82" s="8"/>
      <c r="B82" s="8"/>
      <c r="C82" s="8"/>
      <c r="D82" s="8"/>
      <c r="E82" s="8"/>
      <c r="P82" s="8"/>
      <c r="Q82" s="8"/>
      <c r="R82" s="8"/>
    </row>
    <row r="83">
      <c r="A83" s="8"/>
      <c r="B83" s="8"/>
      <c r="C83" s="8"/>
      <c r="D83" s="8"/>
      <c r="E83" s="8"/>
      <c r="P83" s="8"/>
      <c r="Q83" s="8"/>
      <c r="R83" s="8"/>
    </row>
    <row r="84">
      <c r="A84" s="8"/>
      <c r="B84" s="8"/>
      <c r="C84" s="8"/>
      <c r="D84" s="8"/>
      <c r="E84" s="8"/>
      <c r="P84" s="8"/>
      <c r="Q84" s="8"/>
      <c r="R84" s="8"/>
    </row>
    <row r="85">
      <c r="A85" s="8"/>
      <c r="B85" s="8"/>
      <c r="C85" s="8"/>
      <c r="D85" s="8"/>
      <c r="E85" s="8"/>
      <c r="P85" s="8"/>
      <c r="Q85" s="8"/>
      <c r="R85" s="8"/>
    </row>
    <row r="86">
      <c r="A86" s="8"/>
      <c r="B86" s="8"/>
      <c r="C86" s="8"/>
      <c r="D86" s="8"/>
      <c r="E86" s="8"/>
      <c r="P86" s="8"/>
      <c r="Q86" s="8"/>
      <c r="R86" s="8"/>
    </row>
    <row r="87">
      <c r="A87" s="8"/>
      <c r="B87" s="8"/>
      <c r="C87" s="8"/>
      <c r="D87" s="8"/>
      <c r="E87" s="8"/>
      <c r="P87" s="8"/>
      <c r="Q87" s="8"/>
      <c r="R87" s="8"/>
    </row>
    <row r="88">
      <c r="A88" s="8"/>
      <c r="B88" s="8"/>
      <c r="C88" s="8"/>
      <c r="D88" s="8"/>
      <c r="E88" s="8"/>
      <c r="P88" s="8"/>
      <c r="Q88" s="8"/>
      <c r="R88" s="8"/>
    </row>
    <row r="89">
      <c r="A89" s="8"/>
      <c r="B89" s="8"/>
      <c r="C89" s="8"/>
      <c r="D89" s="8"/>
      <c r="E89" s="8"/>
      <c r="P89" s="8"/>
      <c r="Q89" s="8"/>
      <c r="R89" s="8"/>
    </row>
    <row r="90">
      <c r="A90" s="8"/>
      <c r="B90" s="8"/>
      <c r="C90" s="8"/>
      <c r="D90" s="8"/>
      <c r="E90" s="8"/>
      <c r="P90" s="8"/>
      <c r="Q90" s="8"/>
      <c r="R90" s="8"/>
    </row>
    <row r="91">
      <c r="A91" s="8"/>
      <c r="B91" s="8"/>
      <c r="C91" s="8"/>
      <c r="D91" s="8"/>
      <c r="E91" s="8"/>
      <c r="P91" s="8"/>
      <c r="Q91" s="8"/>
      <c r="R91" s="8"/>
    </row>
    <row r="92">
      <c r="A92" s="8"/>
      <c r="B92" s="8"/>
      <c r="C92" s="8"/>
      <c r="D92" s="8"/>
      <c r="E92" s="8"/>
      <c r="P92" s="8"/>
      <c r="Q92" s="8"/>
      <c r="R92" s="8"/>
    </row>
    <row r="93">
      <c r="A93" s="8"/>
      <c r="B93" s="8"/>
      <c r="C93" s="8"/>
      <c r="D93" s="8"/>
      <c r="E93" s="8"/>
      <c r="P93" s="8"/>
      <c r="Q93" s="8"/>
      <c r="R93" s="8"/>
    </row>
    <row r="94">
      <c r="A94" s="8"/>
      <c r="B94" s="8"/>
      <c r="C94" s="8"/>
      <c r="D94" s="8"/>
      <c r="E94" s="8"/>
      <c r="G94" s="7" t="s">
        <v>14</v>
      </c>
      <c r="H94" s="8"/>
      <c r="I94" s="11"/>
      <c r="J94" s="8"/>
      <c r="P94" s="8"/>
      <c r="Q94" s="8"/>
      <c r="R94" s="8"/>
    </row>
    <row r="95">
      <c r="A95" s="8"/>
      <c r="B95" s="8"/>
      <c r="C95" s="8"/>
      <c r="D95" s="8"/>
      <c r="E95" s="8"/>
      <c r="G95" s="8"/>
      <c r="J95" s="8"/>
      <c r="P95" s="8"/>
      <c r="Q95" s="8"/>
      <c r="R95" s="8"/>
    </row>
    <row r="96">
      <c r="A96" s="8"/>
      <c r="B96" s="8"/>
      <c r="C96" s="8"/>
      <c r="D96" s="8"/>
      <c r="E96" s="8"/>
      <c r="G96" s="8"/>
      <c r="J96" s="8"/>
      <c r="P96" s="8"/>
      <c r="Q96" s="8"/>
      <c r="R96" s="8"/>
    </row>
    <row r="97">
      <c r="A97" s="8"/>
      <c r="B97" s="8"/>
      <c r="C97" s="8"/>
      <c r="D97" s="8"/>
      <c r="E97" s="8"/>
      <c r="G97" s="8"/>
      <c r="H97" s="8"/>
      <c r="I97" s="8"/>
      <c r="J97" s="8"/>
      <c r="P97" s="8"/>
      <c r="Q97" s="8"/>
      <c r="R97" s="8"/>
    </row>
    <row r="98">
      <c r="A98" s="8"/>
      <c r="B98" s="8"/>
      <c r="C98" s="8"/>
      <c r="D98" s="8"/>
      <c r="E98" s="8"/>
      <c r="G98" s="8"/>
      <c r="H98" s="8"/>
      <c r="I98" s="8"/>
      <c r="J98" s="8"/>
      <c r="P98" s="8"/>
      <c r="Q98" s="8"/>
      <c r="R98" s="8"/>
    </row>
    <row r="99">
      <c r="A99" s="8"/>
      <c r="B99" s="8"/>
      <c r="C99" s="8"/>
      <c r="D99" s="8"/>
      <c r="E99" s="8"/>
      <c r="G99" s="8"/>
      <c r="H99" s="8"/>
      <c r="I99" s="11"/>
      <c r="J99" s="8"/>
      <c r="P99" s="8"/>
      <c r="Q99" s="8"/>
      <c r="R99" s="8"/>
    </row>
    <row r="100">
      <c r="A100" s="8"/>
      <c r="B100" s="8"/>
      <c r="C100" s="8"/>
      <c r="D100" s="8"/>
      <c r="E100" s="8"/>
      <c r="G100" s="8"/>
      <c r="H100" s="8"/>
      <c r="I100" s="11"/>
      <c r="J100" s="8"/>
      <c r="P100" s="8"/>
      <c r="Q100" s="8"/>
      <c r="R100" s="8"/>
    </row>
    <row r="101">
      <c r="A101" s="8"/>
      <c r="B101" s="8"/>
      <c r="C101" s="8"/>
      <c r="D101" s="8"/>
      <c r="E101" s="8"/>
      <c r="G101" s="8"/>
      <c r="H101" s="8"/>
      <c r="I101" s="11"/>
      <c r="J101" s="8"/>
      <c r="P101" s="8"/>
      <c r="Q101" s="8"/>
      <c r="R101" s="8"/>
    </row>
    <row r="102">
      <c r="A102" s="8"/>
      <c r="B102" s="8"/>
      <c r="C102" s="8"/>
      <c r="D102" s="8"/>
      <c r="E102" s="8"/>
      <c r="G102" s="8"/>
      <c r="H102" s="8"/>
      <c r="I102" s="11"/>
      <c r="J102" s="8"/>
      <c r="P102" s="8"/>
      <c r="Q102" s="8"/>
      <c r="R102" s="8"/>
    </row>
    <row r="103">
      <c r="A103" s="8"/>
      <c r="B103" s="8"/>
      <c r="C103" s="8"/>
      <c r="D103" s="8"/>
      <c r="E103" s="8"/>
      <c r="G103" s="8"/>
      <c r="H103" s="8"/>
      <c r="I103" s="11"/>
      <c r="J103" s="8"/>
      <c r="P103" s="8"/>
      <c r="Q103" s="8"/>
      <c r="R103" s="8"/>
    </row>
    <row r="104">
      <c r="A104" s="8"/>
      <c r="B104" s="8"/>
      <c r="C104" s="8"/>
      <c r="D104" s="8"/>
      <c r="E104" s="8"/>
      <c r="G104" s="8"/>
      <c r="H104" s="8"/>
      <c r="I104" s="11"/>
      <c r="J104" s="8"/>
      <c r="P104" s="8"/>
      <c r="Q104" s="8"/>
      <c r="R104" s="8"/>
    </row>
    <row r="105">
      <c r="A105" s="8"/>
      <c r="B105" s="8"/>
      <c r="C105" s="8"/>
      <c r="D105" s="8"/>
      <c r="E105" s="8"/>
      <c r="G105" s="8"/>
      <c r="H105" s="8"/>
      <c r="I105" s="11"/>
      <c r="J105" s="8"/>
      <c r="P105" s="8"/>
      <c r="Q105" s="8"/>
      <c r="R105" s="8"/>
    </row>
    <row r="106">
      <c r="A106" s="8"/>
      <c r="B106" s="8"/>
      <c r="C106" s="8"/>
      <c r="D106" s="8"/>
      <c r="E106" s="8"/>
      <c r="G106" s="8"/>
      <c r="H106" s="8"/>
      <c r="I106" s="11"/>
      <c r="J106" s="8"/>
      <c r="P106" s="8"/>
      <c r="Q106" s="8"/>
      <c r="R106" s="8"/>
    </row>
    <row r="107">
      <c r="A107" s="8"/>
      <c r="B107" s="8"/>
      <c r="C107" s="8"/>
      <c r="D107" s="8"/>
      <c r="E107" s="8"/>
      <c r="G107" s="8"/>
      <c r="H107" s="8"/>
      <c r="I107" s="11"/>
      <c r="J107" s="8"/>
      <c r="P107" s="8"/>
      <c r="Q107" s="8"/>
      <c r="R107" s="8"/>
    </row>
    <row r="108">
      <c r="A108" s="8"/>
      <c r="B108" s="8"/>
      <c r="C108" s="8"/>
      <c r="D108" s="8"/>
      <c r="E108" s="8"/>
      <c r="G108" s="8"/>
      <c r="H108" s="8"/>
      <c r="I108" s="11"/>
      <c r="J108" s="8"/>
      <c r="P108" s="8"/>
      <c r="Q108" s="8"/>
      <c r="R108" s="8"/>
    </row>
    <row r="109">
      <c r="A109" s="8"/>
      <c r="B109" s="8"/>
      <c r="C109" s="8"/>
      <c r="D109" s="8"/>
      <c r="E109" s="8"/>
      <c r="G109" s="8"/>
      <c r="H109" s="8"/>
      <c r="I109" s="11"/>
      <c r="J109" s="8"/>
      <c r="P109" s="8"/>
      <c r="Q109" s="8"/>
      <c r="R109" s="8"/>
    </row>
    <row r="110">
      <c r="A110" s="8"/>
      <c r="B110" s="8"/>
      <c r="C110" s="8"/>
      <c r="D110" s="8"/>
      <c r="E110" s="8"/>
      <c r="G110" s="8"/>
      <c r="H110" s="8"/>
      <c r="I110" s="8"/>
      <c r="J110" s="8"/>
      <c r="P110" s="8"/>
      <c r="Q110" s="8"/>
      <c r="R110" s="8"/>
    </row>
    <row r="111">
      <c r="A111" s="8"/>
      <c r="B111" s="8"/>
      <c r="C111" s="8"/>
      <c r="D111" s="8"/>
      <c r="E111" s="8"/>
      <c r="G111" s="8"/>
      <c r="H111" s="8"/>
      <c r="I111" s="8"/>
      <c r="J111" s="8"/>
      <c r="P111" s="8"/>
      <c r="Q111" s="8"/>
      <c r="R111" s="8"/>
    </row>
    <row r="112">
      <c r="A112" s="8"/>
      <c r="B112" s="8"/>
      <c r="C112" s="8"/>
      <c r="D112" s="8"/>
      <c r="E112" s="8"/>
      <c r="G112" s="8"/>
      <c r="H112" s="8"/>
      <c r="I112" s="8"/>
      <c r="J112" s="8"/>
      <c r="P112" s="8"/>
      <c r="Q112" s="8"/>
      <c r="R112" s="8"/>
    </row>
    <row r="113">
      <c r="A113" s="8"/>
      <c r="B113" s="8"/>
      <c r="C113" s="8"/>
      <c r="D113" s="8"/>
      <c r="E113" s="8"/>
      <c r="G113" s="8"/>
      <c r="H113" s="8"/>
      <c r="I113" s="8"/>
      <c r="J113" s="8"/>
      <c r="P113" s="8"/>
      <c r="Q113" s="8"/>
      <c r="R113" s="8"/>
    </row>
    <row r="114">
      <c r="A114" s="8"/>
      <c r="B114" s="8"/>
      <c r="C114" s="8"/>
      <c r="D114" s="8"/>
      <c r="E114" s="8"/>
      <c r="G114" s="8"/>
      <c r="H114" s="8"/>
      <c r="I114" s="8"/>
      <c r="J114" s="8"/>
      <c r="P114" s="8"/>
      <c r="Q114" s="8"/>
      <c r="R114" s="8"/>
    </row>
    <row r="115">
      <c r="A115" s="8"/>
      <c r="B115" s="8"/>
      <c r="C115" s="8"/>
      <c r="D115" s="8"/>
      <c r="E115" s="8"/>
      <c r="G115" s="8"/>
      <c r="I115" s="11"/>
      <c r="J115" s="8"/>
      <c r="P115" s="8"/>
      <c r="Q115" s="8"/>
      <c r="R115" s="8"/>
    </row>
    <row r="116">
      <c r="A116" s="8"/>
      <c r="B116" s="8"/>
      <c r="C116" s="8"/>
      <c r="D116" s="8"/>
      <c r="E116" s="8"/>
      <c r="G116" s="8"/>
      <c r="H116" s="8"/>
      <c r="I116" s="11"/>
      <c r="J116" s="8"/>
      <c r="P116" s="8"/>
      <c r="Q116" s="8"/>
      <c r="R116" s="8"/>
    </row>
    <row r="117">
      <c r="A117" s="8"/>
      <c r="B117" s="8"/>
      <c r="C117" s="8"/>
      <c r="D117" s="8"/>
      <c r="E117" s="8"/>
      <c r="G117" s="8"/>
      <c r="H117" s="8"/>
      <c r="I117" s="8"/>
      <c r="J117" s="8"/>
      <c r="P117" s="8"/>
      <c r="Q117" s="8"/>
      <c r="R117" s="8"/>
    </row>
    <row r="118">
      <c r="A118" s="8"/>
      <c r="B118" s="8"/>
      <c r="C118" s="8"/>
      <c r="D118" s="8"/>
      <c r="E118" s="8"/>
      <c r="G118" s="8"/>
      <c r="H118" s="8"/>
      <c r="I118" s="11"/>
      <c r="J118" s="8"/>
      <c r="P118" s="8"/>
      <c r="Q118" s="8"/>
      <c r="R118" s="8"/>
    </row>
    <row r="119">
      <c r="A119" s="8"/>
      <c r="B119" s="8"/>
      <c r="C119" s="8"/>
      <c r="D119" s="8"/>
      <c r="E119" s="8"/>
      <c r="G119" s="8"/>
      <c r="H119" s="8"/>
      <c r="I119" s="11"/>
      <c r="J119" s="8"/>
      <c r="P119" s="8"/>
      <c r="Q119" s="8"/>
      <c r="R119" s="8"/>
    </row>
    <row r="120">
      <c r="A120" s="8"/>
      <c r="B120" s="8"/>
      <c r="C120" s="8"/>
      <c r="D120" s="8"/>
      <c r="E120" s="8"/>
      <c r="G120" s="8"/>
      <c r="H120" s="8"/>
      <c r="I120" s="11"/>
      <c r="J120" s="8"/>
      <c r="P120" s="8"/>
      <c r="Q120" s="8"/>
      <c r="R120" s="8"/>
    </row>
    <row r="121">
      <c r="A121" s="8"/>
      <c r="B121" s="8"/>
      <c r="C121" s="8"/>
      <c r="D121" s="8"/>
      <c r="E121" s="8"/>
      <c r="G121" s="8"/>
      <c r="H121" s="8"/>
      <c r="I121" s="11"/>
      <c r="J121" s="8"/>
      <c r="P121" s="8"/>
      <c r="Q121" s="8"/>
      <c r="R121" s="8"/>
    </row>
    <row r="122">
      <c r="A122" s="8"/>
      <c r="B122" s="8"/>
      <c r="C122" s="8"/>
      <c r="D122" s="8"/>
      <c r="E122" s="8"/>
      <c r="G122" s="8"/>
      <c r="H122" s="8"/>
      <c r="I122" s="11"/>
      <c r="J122" s="8"/>
      <c r="P122" s="8"/>
      <c r="Q122" s="8"/>
      <c r="R122" s="8"/>
    </row>
    <row r="123">
      <c r="G123" s="8"/>
      <c r="H123" s="8"/>
      <c r="I123" s="11"/>
      <c r="J123" s="8"/>
    </row>
    <row r="124">
      <c r="G124" s="8"/>
      <c r="H124" s="8"/>
      <c r="I124" s="11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I133" s="8"/>
      <c r="J133" s="8"/>
    </row>
    <row r="134">
      <c r="G134" s="8"/>
      <c r="I134" s="8"/>
      <c r="J134" s="8"/>
    </row>
    <row r="135">
      <c r="G135" s="8"/>
      <c r="H135" s="8"/>
      <c r="I135" s="11"/>
      <c r="J135" s="8"/>
    </row>
    <row r="136">
      <c r="G136" s="8"/>
      <c r="H136" s="8"/>
      <c r="I136" s="11"/>
      <c r="J136" s="8"/>
    </row>
    <row r="137">
      <c r="G137" s="8"/>
      <c r="H137" s="8"/>
      <c r="J137" s="8"/>
    </row>
    <row r="138">
      <c r="G138" s="8"/>
      <c r="H138" s="8"/>
      <c r="I138" s="11"/>
      <c r="J138" s="8"/>
    </row>
    <row r="139">
      <c r="G139" s="8"/>
      <c r="I139" s="11"/>
      <c r="J139" s="8"/>
    </row>
    <row r="140">
      <c r="G140" s="8"/>
      <c r="J140" s="8"/>
    </row>
    <row r="141">
      <c r="G141" s="8"/>
      <c r="H141" s="8"/>
      <c r="I141" s="11"/>
      <c r="J141" s="8"/>
    </row>
    <row r="143">
      <c r="G143" s="8"/>
      <c r="H143" s="8"/>
      <c r="I143" s="11"/>
      <c r="J143" s="8"/>
    </row>
    <row r="144">
      <c r="G144" s="8"/>
      <c r="H144" s="8"/>
      <c r="I144" s="11"/>
      <c r="J144" s="8"/>
    </row>
    <row r="145">
      <c r="G145" s="8"/>
      <c r="H145" s="8"/>
      <c r="I145" s="11"/>
      <c r="J145" s="8"/>
    </row>
    <row r="146">
      <c r="G146" s="8"/>
      <c r="H146" s="8"/>
      <c r="I146" s="11"/>
      <c r="J146" s="8"/>
    </row>
    <row r="147">
      <c r="G147" s="8"/>
      <c r="H147" s="8"/>
      <c r="I147" s="11"/>
      <c r="J147" s="8"/>
      <c r="K147" s="10"/>
    </row>
    <row r="148">
      <c r="G148" s="8"/>
      <c r="H148" s="8"/>
      <c r="I148" s="11"/>
      <c r="J148" s="8"/>
    </row>
    <row r="149">
      <c r="G149" s="8"/>
      <c r="H149" s="8"/>
      <c r="I149" s="11"/>
      <c r="J149" s="8"/>
    </row>
    <row r="150">
      <c r="G150" s="8"/>
      <c r="H150" s="8"/>
      <c r="I150" s="11"/>
      <c r="J150" s="8"/>
    </row>
    <row r="151">
      <c r="G151" s="8"/>
      <c r="H151" s="8"/>
      <c r="I151" s="11"/>
      <c r="J151" s="8"/>
    </row>
    <row r="152">
      <c r="G152" s="8"/>
      <c r="H152" s="8"/>
      <c r="I152" s="11"/>
      <c r="J152" s="8"/>
    </row>
    <row r="153">
      <c r="G153" s="8"/>
      <c r="H153" s="8"/>
      <c r="I153" s="11"/>
      <c r="J153" s="8"/>
    </row>
    <row r="154">
      <c r="G154" s="8"/>
      <c r="H154" s="8"/>
      <c r="I154" s="11"/>
      <c r="J154" s="8"/>
    </row>
    <row r="155">
      <c r="G155" s="8"/>
      <c r="H155" s="8"/>
      <c r="I155" s="11"/>
      <c r="J155" s="8"/>
    </row>
    <row r="156">
      <c r="G156" s="8"/>
      <c r="H156" s="8"/>
      <c r="I156" s="11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11"/>
      <c r="J159" s="8"/>
    </row>
    <row r="160">
      <c r="G160" s="8"/>
      <c r="H160" s="8"/>
      <c r="I160" s="11"/>
      <c r="J160" s="8"/>
    </row>
    <row r="161">
      <c r="G161" s="8"/>
      <c r="H161" s="8"/>
      <c r="I161" s="11"/>
      <c r="J161" s="8"/>
    </row>
    <row r="162">
      <c r="G162" s="8"/>
      <c r="H162" s="8"/>
      <c r="I162" s="11"/>
      <c r="J162" s="8"/>
    </row>
    <row r="163">
      <c r="G163" s="8"/>
      <c r="H163" s="8"/>
      <c r="I163" s="11"/>
      <c r="J163" s="8"/>
    </row>
    <row r="164">
      <c r="G164" s="8"/>
      <c r="H164" s="8"/>
      <c r="I164" s="11"/>
      <c r="J164" s="8"/>
      <c r="K164" s="8"/>
    </row>
    <row r="165">
      <c r="G165" s="8"/>
      <c r="H165" s="8"/>
      <c r="I165" s="11"/>
      <c r="J165" s="8"/>
      <c r="K165" s="8"/>
    </row>
    <row r="166">
      <c r="G166" s="8"/>
      <c r="H166" s="8"/>
      <c r="I166" s="11"/>
      <c r="J166" s="8"/>
      <c r="K166" s="8"/>
    </row>
    <row r="167">
      <c r="G167" s="8"/>
      <c r="H167" s="8"/>
      <c r="I167" s="8"/>
      <c r="J167" s="8"/>
      <c r="K167" s="8"/>
    </row>
    <row r="168">
      <c r="G168" s="8"/>
      <c r="H168" s="8"/>
      <c r="I168" s="8"/>
      <c r="J168" s="8"/>
      <c r="K168" s="8"/>
    </row>
    <row r="169">
      <c r="G169" s="8"/>
      <c r="H169" s="8"/>
      <c r="I169" s="8"/>
      <c r="J169" s="8"/>
      <c r="K169" s="8"/>
    </row>
    <row r="170">
      <c r="G170" s="8"/>
      <c r="H170" s="8"/>
      <c r="I170" s="8"/>
      <c r="J170" s="8"/>
      <c r="K170" s="8"/>
    </row>
    <row r="171">
      <c r="G171" s="8"/>
      <c r="H171" s="8"/>
      <c r="I171" s="8"/>
      <c r="J171" s="8"/>
      <c r="K171" s="8"/>
    </row>
    <row r="172">
      <c r="G172" s="8"/>
      <c r="H172" s="8"/>
      <c r="I172" s="8"/>
      <c r="J172" s="8"/>
      <c r="K172" s="8"/>
    </row>
    <row r="173">
      <c r="G173" s="8"/>
      <c r="H173" s="8"/>
      <c r="I173" s="8"/>
      <c r="J173" s="8"/>
      <c r="K173" s="8"/>
    </row>
    <row r="174">
      <c r="G174" s="8"/>
      <c r="H174" s="8"/>
      <c r="I174" s="8"/>
      <c r="J174" s="8"/>
      <c r="K174" s="8"/>
    </row>
    <row r="175">
      <c r="G175" s="8"/>
      <c r="H175" s="8"/>
      <c r="I175" s="8"/>
      <c r="J175" s="8"/>
      <c r="K175" s="8"/>
    </row>
    <row r="176">
      <c r="G176" s="8"/>
      <c r="H176" s="8"/>
      <c r="I176" s="8"/>
      <c r="J176" s="8"/>
      <c r="K176" s="8"/>
    </row>
    <row r="177">
      <c r="K177" s="8"/>
    </row>
    <row r="178">
      <c r="K178" s="8"/>
    </row>
    <row r="179">
      <c r="K179" s="8"/>
    </row>
    <row r="180">
      <c r="G180" s="8"/>
      <c r="H180" s="8"/>
      <c r="I180" s="8"/>
      <c r="J180" s="8"/>
      <c r="K180" s="8"/>
    </row>
    <row r="181">
      <c r="G181" s="8"/>
      <c r="H181" s="8"/>
      <c r="I181" s="8"/>
      <c r="J181" s="8"/>
      <c r="K181" s="8"/>
      <c r="L181" s="8"/>
      <c r="M181" s="8"/>
    </row>
    <row r="182">
      <c r="G182" s="8"/>
      <c r="H182" s="8"/>
      <c r="I182" s="8"/>
      <c r="J182" s="8"/>
      <c r="K182" s="8"/>
      <c r="L182" s="8"/>
      <c r="M182" s="8"/>
    </row>
    <row r="183">
      <c r="G183" s="8"/>
      <c r="H183" s="8"/>
      <c r="I183" s="11"/>
      <c r="J183" s="8"/>
      <c r="K183" s="8"/>
      <c r="L183" s="8"/>
      <c r="M183" s="8"/>
    </row>
    <row r="184">
      <c r="G184" s="8"/>
      <c r="H184" s="8"/>
      <c r="I184" s="11"/>
      <c r="J184" s="8"/>
      <c r="K184" s="8"/>
      <c r="L184" s="8"/>
      <c r="M184" s="8"/>
    </row>
    <row r="185">
      <c r="G185" s="8"/>
      <c r="H185" s="8"/>
      <c r="I185" s="11"/>
      <c r="J185" s="8"/>
      <c r="K185" s="8"/>
      <c r="L185" s="8"/>
      <c r="M185" s="8"/>
    </row>
    <row r="186">
      <c r="G186" s="8"/>
      <c r="H186" s="8"/>
      <c r="I186" s="8"/>
      <c r="J186" s="8"/>
      <c r="K186" s="8"/>
      <c r="L186" s="8"/>
      <c r="M186" s="8"/>
    </row>
    <row r="187">
      <c r="G187" s="8"/>
      <c r="H187" s="8"/>
      <c r="I187" s="11"/>
      <c r="J187" s="8"/>
      <c r="K187" s="8"/>
      <c r="L187" s="8"/>
      <c r="M187" s="8"/>
    </row>
    <row r="188">
      <c r="G188" s="8"/>
      <c r="H188" s="8"/>
      <c r="I188" s="11"/>
      <c r="J188" s="8"/>
      <c r="K188" s="8"/>
      <c r="L188" s="8"/>
      <c r="M188" s="8"/>
    </row>
    <row r="189">
      <c r="G189" s="8"/>
      <c r="H189" s="8"/>
      <c r="I189" s="11"/>
      <c r="J189" s="8"/>
      <c r="K189" s="8"/>
      <c r="L189" s="8"/>
      <c r="M189" s="8"/>
    </row>
    <row r="190">
      <c r="G190" s="8"/>
      <c r="H190" s="8"/>
      <c r="I190" s="11"/>
      <c r="J190" s="8"/>
      <c r="K190" s="8"/>
      <c r="L190" s="8"/>
      <c r="M190" s="8"/>
    </row>
    <row r="191">
      <c r="G191" s="8"/>
      <c r="H191" s="8"/>
      <c r="I191" s="11"/>
      <c r="J191" s="8"/>
      <c r="K191" s="8"/>
      <c r="L191" s="8"/>
      <c r="M191" s="8"/>
    </row>
    <row r="192">
      <c r="G192" s="8"/>
      <c r="H192" s="8"/>
      <c r="I192" s="8"/>
      <c r="J192" s="8"/>
      <c r="K192" s="8"/>
      <c r="L192" s="8"/>
      <c r="M192" s="8"/>
    </row>
    <row r="193">
      <c r="G193" s="8"/>
      <c r="H193" s="8"/>
      <c r="I193" s="8"/>
      <c r="J193" s="8"/>
      <c r="K193" s="8"/>
      <c r="L193" s="8"/>
      <c r="M193" s="8"/>
    </row>
    <row r="194">
      <c r="G194" s="8"/>
      <c r="H194" s="8"/>
      <c r="I194" s="11"/>
      <c r="J194" s="8"/>
      <c r="K194" s="8"/>
      <c r="L194" s="8"/>
      <c r="M194" s="8"/>
    </row>
    <row r="195">
      <c r="G195" s="8"/>
      <c r="H195" s="8"/>
      <c r="I195" s="11"/>
      <c r="J195" s="8"/>
      <c r="K195" s="8"/>
      <c r="L195" s="8"/>
      <c r="M195" s="8"/>
    </row>
    <row r="196">
      <c r="G196" s="8"/>
      <c r="H196" s="8"/>
      <c r="I196" s="11"/>
      <c r="J196" s="8"/>
      <c r="K196" s="8"/>
      <c r="L196" s="8"/>
      <c r="M196" s="8"/>
    </row>
    <row r="197">
      <c r="G197" s="8"/>
      <c r="H197" s="8"/>
      <c r="I197" s="11"/>
      <c r="J197" s="8"/>
      <c r="K197" s="8"/>
      <c r="L197" s="8"/>
      <c r="M197" s="8"/>
    </row>
    <row r="198">
      <c r="G198" s="8"/>
      <c r="H198" s="8"/>
      <c r="I198" s="11"/>
      <c r="J198" s="8"/>
    </row>
    <row r="199">
      <c r="G199" s="8"/>
      <c r="H199" s="8"/>
      <c r="I199" s="11"/>
      <c r="J199" s="8"/>
    </row>
    <row r="200">
      <c r="G200" s="8"/>
      <c r="H200" s="8"/>
      <c r="I200" s="11"/>
      <c r="J200" s="8"/>
    </row>
    <row r="201">
      <c r="G201" s="8"/>
      <c r="H201" s="8"/>
      <c r="I201" s="11"/>
      <c r="J201" s="8"/>
    </row>
    <row r="202">
      <c r="G202" s="8"/>
      <c r="H202" s="8"/>
      <c r="I202" s="11"/>
      <c r="J202" s="8"/>
    </row>
    <row r="203">
      <c r="F203" s="11"/>
      <c r="G203" s="8"/>
      <c r="H203" s="8"/>
      <c r="I203" s="11"/>
      <c r="J203" s="8"/>
    </row>
    <row r="204">
      <c r="F204" s="11"/>
      <c r="G204" s="8"/>
      <c r="H204" s="8"/>
      <c r="I204" s="11"/>
      <c r="J204" s="8"/>
    </row>
    <row r="205">
      <c r="F205" s="11"/>
      <c r="G205" s="8"/>
      <c r="H205" s="8"/>
      <c r="I205" s="11"/>
      <c r="J205" s="8"/>
    </row>
    <row r="206">
      <c r="F206" s="11"/>
      <c r="G206" s="8"/>
      <c r="H206" s="8"/>
      <c r="I206" s="11"/>
      <c r="J206" s="8"/>
    </row>
    <row r="207">
      <c r="F207" s="11"/>
      <c r="G207" s="8"/>
      <c r="H207" s="8"/>
      <c r="I207" s="11"/>
      <c r="J207" s="8"/>
    </row>
    <row r="208">
      <c r="F208" s="8"/>
      <c r="G208" s="8"/>
      <c r="H208" s="8"/>
      <c r="I208" s="11"/>
      <c r="J208" s="8"/>
    </row>
    <row r="209">
      <c r="F209" s="8"/>
      <c r="G209" s="8"/>
      <c r="H209" s="8"/>
      <c r="I209" s="11"/>
      <c r="J209" s="8"/>
    </row>
    <row r="210">
      <c r="F210" s="8"/>
      <c r="G210" s="8"/>
      <c r="H210" s="8"/>
      <c r="I210" s="11"/>
      <c r="J210" s="8"/>
    </row>
    <row r="211">
      <c r="F211" s="8"/>
      <c r="G211" s="8"/>
      <c r="H211" s="10"/>
      <c r="I211" s="8"/>
      <c r="J211" s="8"/>
    </row>
    <row r="212">
      <c r="F212" s="8"/>
      <c r="G212" s="8"/>
      <c r="H212" s="10"/>
      <c r="I212" s="10"/>
      <c r="J212" s="8"/>
    </row>
    <row r="213">
      <c r="F213" s="8"/>
      <c r="G213" s="8"/>
      <c r="H213" s="10"/>
      <c r="I213" s="10"/>
      <c r="J213" s="8"/>
    </row>
    <row r="214">
      <c r="F214" s="11"/>
      <c r="G214" s="8"/>
      <c r="H214" s="8"/>
      <c r="I214" s="11"/>
      <c r="J214" s="8"/>
    </row>
    <row r="215">
      <c r="F215" s="11"/>
      <c r="G215" s="8"/>
      <c r="I215" s="11"/>
      <c r="J215" s="8"/>
    </row>
    <row r="216">
      <c r="G216" s="8"/>
      <c r="I216" s="11"/>
      <c r="J216" s="8"/>
    </row>
    <row r="217">
      <c r="F217" s="11"/>
    </row>
    <row r="218">
      <c r="F218" s="11"/>
    </row>
    <row r="219">
      <c r="F219" s="11"/>
      <c r="G219" s="8"/>
      <c r="H219" s="8"/>
      <c r="I219" s="8"/>
      <c r="J219" s="8"/>
    </row>
    <row r="220">
      <c r="F220" s="11"/>
      <c r="G220" s="8"/>
      <c r="H220" s="8"/>
      <c r="I220" s="8"/>
      <c r="J220" s="8"/>
    </row>
    <row r="221">
      <c r="F221" s="11"/>
      <c r="G221" s="8"/>
      <c r="H221" s="8"/>
      <c r="I221" s="8"/>
      <c r="J221" s="8"/>
    </row>
    <row r="222">
      <c r="F222" s="11"/>
    </row>
    <row r="224">
      <c r="F224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8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8"/>
    </row>
    <row r="276">
      <c r="F276" s="8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8"/>
    </row>
    <row r="295">
      <c r="F295" s="10"/>
    </row>
    <row r="297">
      <c r="F297" s="11"/>
    </row>
    <row r="298">
      <c r="F298" s="11"/>
    </row>
    <row r="299">
      <c r="F299" s="11"/>
    </row>
  </sheetData>
  <dataValidations>
    <dataValidation type="list" allowBlank="1" showErrorMessage="1" sqref="E6:E13">
      <formula1>"ICICI Credit Card,ICICI Bank Transfer,Canara GPay,Canara Bank Transfer,BOB Zerodha,BOB GPay,Cash,Cred,Amazon pay CC,HDFC Swiggy CC"</formula1>
    </dataValidation>
    <dataValidation type="list" allowBlank="1" showErrorMessage="1" sqref="E2:E5 J2:J20 J94:J141 J145:J176 J180:J216 J219:J221">
      <formula1>"ICICI Credit Card,ICICI Bank Transfer/DC,Canara Bank Transfer,BOB Zerodha,CRED,Amazon Pay,Gpay,Splitwise,HDFC Swiggy CC,Cash"</formula1>
    </dataValidation>
    <dataValidation type="list" allowBlank="1" showErrorMessage="1" sqref="J143:J144">
      <formula1>"ICICI Credit Card,ICICI Bank Transfer,Canara Bank Transfer,BOB Zerodha,CRED,Amazon Pay,Gpay,Splitwise,HDFC Swiggy CC,Cash"</formula1>
    </dataValidation>
    <dataValidation type="list" allowBlank="1" showErrorMessage="1" sqref="B2:B13">
      <formula1>"Job,Investment,Startup,Gift,Flatmate Rent,Return,Cashback"</formula1>
    </dataValidation>
    <dataValidation type="list" allowBlank="1" showErrorMessage="1" sqref="G2:G20 G94:G141 G143:G176 G180:G216 G219:G221">
      <formula1>"Investment,Startup,Grocery,Utilities,Health,Entertainment,Travel,Gift,Outside food,Hobby,Shopping,Business,Trip,Misc"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2018-11-13T06:32:43Z</dcterms:created>
  <dc:creator>user</dc:creator>
</cp:coreProperties>
</file>